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Josefina Urquiza\Downloads\"/>
    </mc:Choice>
  </mc:AlternateContent>
  <bookViews>
    <workbookView xWindow="0" yWindow="0" windowWidth="28800" windowHeight="12144" tabRatio="481" activeTab="1"/>
  </bookViews>
  <sheets>
    <sheet name="COMPRAS" sheetId="6" r:id="rId1"/>
    <sheet name="VENTAS" sheetId="1" r:id="rId2"/>
    <sheet name="A COBRAR" sheetId="2" r:id="rId3"/>
    <sheet name="RECIBOS CLI" sheetId="3" r:id="rId4"/>
    <sheet name="A PAGAR" sheetId="5" r:id="rId5"/>
  </sheets>
  <definedNames>
    <definedName name="_xlnm._FilterDatabase" localSheetId="0" hidden="1">COMPRAS!$A$7:$Y$95</definedName>
    <definedName name="_xlnm._FilterDatabase" localSheetId="1" hidden="1">VENTAS!$A$7:$L$89</definedName>
    <definedName name="_xlnm.Print_Area" localSheetId="1">VENTAS!$A$1:$K$109</definedName>
  </definedNames>
  <calcPr calcId="162913"/>
</workbook>
</file>

<file path=xl/calcChain.xml><?xml version="1.0" encoding="utf-8"?>
<calcChain xmlns="http://schemas.openxmlformats.org/spreadsheetml/2006/main">
  <c r="L29" i="6" l="1"/>
  <c r="R29" i="6" s="1"/>
  <c r="L30" i="6"/>
  <c r="R30" i="6" s="1"/>
  <c r="L31" i="6"/>
  <c r="R31" i="6" s="1"/>
  <c r="L32" i="6"/>
  <c r="R32" i="6" s="1"/>
  <c r="L33" i="6"/>
  <c r="R33" i="6" s="1"/>
  <c r="L34" i="6"/>
  <c r="R34" i="6" s="1"/>
  <c r="L35" i="6"/>
  <c r="R35" i="6" s="1"/>
  <c r="L36" i="6"/>
  <c r="R36" i="6" s="1"/>
  <c r="L37" i="6"/>
  <c r="R37" i="6" s="1"/>
  <c r="L38" i="6"/>
  <c r="R38" i="6" s="1"/>
  <c r="L80" i="6"/>
  <c r="R80" i="6" s="1"/>
  <c r="R65" i="6"/>
  <c r="R64" i="6"/>
  <c r="L49" i="6" l="1"/>
  <c r="R49" i="6" s="1"/>
  <c r="L57" i="6"/>
  <c r="R57" i="6" s="1"/>
  <c r="L56" i="6"/>
  <c r="R56" i="6" s="1"/>
  <c r="L55" i="6"/>
  <c r="R55" i="6" s="1"/>
  <c r="L54" i="6"/>
  <c r="R54" i="6" s="1"/>
  <c r="L53" i="6"/>
  <c r="R53" i="6" s="1"/>
  <c r="L51" i="6"/>
  <c r="R51" i="6" s="1"/>
  <c r="L47" i="6"/>
  <c r="R47" i="6" s="1"/>
  <c r="K58" i="6"/>
  <c r="L74" i="6" l="1"/>
  <c r="R74" i="6" s="1"/>
  <c r="L27" i="6"/>
  <c r="R27" i="6" s="1"/>
  <c r="L42" i="6"/>
  <c r="R42" i="6" s="1"/>
  <c r="L28" i="6"/>
  <c r="R28" i="6" s="1"/>
  <c r="L43" i="6"/>
  <c r="R43" i="6" s="1"/>
  <c r="L16" i="6"/>
  <c r="R16" i="6" s="1"/>
  <c r="L41" i="6"/>
  <c r="R41" i="6" s="1"/>
  <c r="L44" i="6"/>
  <c r="R44" i="6" s="1"/>
  <c r="L46" i="6"/>
  <c r="R46" i="6" s="1"/>
  <c r="L48" i="6"/>
  <c r="R48" i="6" s="1"/>
  <c r="L45" i="6"/>
  <c r="R45" i="6" s="1"/>
  <c r="L13" i="6"/>
  <c r="R13" i="6" s="1"/>
  <c r="L52" i="6"/>
  <c r="R52" i="6" s="1"/>
  <c r="L50" i="6"/>
  <c r="R50" i="6" s="1"/>
  <c r="L39" i="6"/>
  <c r="R39" i="6" s="1"/>
  <c r="R58" i="6"/>
  <c r="L59" i="6"/>
  <c r="R59" i="6" s="1"/>
  <c r="L60" i="6"/>
  <c r="R60" i="6" s="1"/>
  <c r="L63" i="6"/>
  <c r="R63" i="6" s="1"/>
  <c r="L66" i="6"/>
  <c r="R66" i="6" s="1"/>
  <c r="L67" i="6"/>
  <c r="L75" i="6"/>
  <c r="R75" i="6" s="1"/>
  <c r="L77" i="6"/>
  <c r="R77" i="6" s="1"/>
  <c r="L76" i="6"/>
  <c r="R76" i="6" s="1"/>
  <c r="L78" i="6"/>
  <c r="R78" i="6" s="1"/>
  <c r="L79" i="6"/>
  <c r="R79" i="6" s="1"/>
  <c r="L81" i="6"/>
  <c r="R81" i="6" s="1"/>
  <c r="L82" i="6"/>
  <c r="R82" i="6" s="1"/>
  <c r="L83" i="6"/>
  <c r="R83" i="6" s="1"/>
  <c r="L84" i="6"/>
  <c r="R84" i="6" s="1"/>
  <c r="R67" i="6" l="1"/>
  <c r="R85" i="6"/>
  <c r="I79" i="1" l="1"/>
  <c r="K79" i="1" s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K59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5" i="1"/>
  <c r="K75" i="1" s="1"/>
  <c r="I76" i="1"/>
  <c r="K76" i="1" s="1"/>
  <c r="I77" i="1"/>
  <c r="K77" i="1" s="1"/>
  <c r="I78" i="1"/>
  <c r="K78" i="1" s="1"/>
  <c r="L15" i="6" l="1"/>
  <c r="R15" i="6" s="1"/>
  <c r="I8" i="1"/>
  <c r="K8" i="1" s="1"/>
  <c r="L19" i="6"/>
  <c r="R19" i="6" s="1"/>
  <c r="L20" i="6"/>
  <c r="R20" i="6" s="1"/>
  <c r="L9" i="6"/>
  <c r="R9" i="6" s="1"/>
  <c r="L14" i="6"/>
  <c r="R14" i="6" s="1"/>
  <c r="L11" i="6"/>
  <c r="R11" i="6" s="1"/>
  <c r="L17" i="6"/>
  <c r="R17" i="6" s="1"/>
  <c r="L23" i="6"/>
  <c r="R23" i="6" s="1"/>
  <c r="L24" i="6"/>
  <c r="R24" i="6" s="1"/>
  <c r="L22" i="6"/>
  <c r="R22" i="6" s="1"/>
  <c r="L25" i="6"/>
  <c r="R25" i="6" s="1"/>
  <c r="L26" i="6"/>
  <c r="R26" i="6" s="1"/>
  <c r="L12" i="6"/>
  <c r="R12" i="6" s="1"/>
  <c r="L10" i="6"/>
  <c r="R10" i="6" s="1"/>
  <c r="L40" i="6"/>
  <c r="R40" i="6" s="1"/>
  <c r="L21" i="6"/>
  <c r="R21" i="6" s="1"/>
  <c r="L18" i="6"/>
  <c r="R18" i="6" s="1"/>
  <c r="L8" i="6" l="1"/>
  <c r="R8" i="6" s="1"/>
  <c r="H92" i="1" l="1"/>
  <c r="J92" i="1"/>
  <c r="L92" i="1"/>
  <c r="I92" i="1" l="1"/>
  <c r="G92" i="1" l="1"/>
  <c r="K92" i="1" l="1"/>
  <c r="J86" i="6"/>
  <c r="R90" i="6" l="1"/>
  <c r="R91" i="6"/>
  <c r="R92" i="6"/>
  <c r="K86" i="6" l="1"/>
  <c r="M86" i="6"/>
  <c r="N86" i="6"/>
  <c r="O86" i="6"/>
  <c r="J102" i="6" l="1"/>
  <c r="L98" i="6" l="1"/>
  <c r="R98" i="6" s="1"/>
  <c r="R102" i="6" s="1"/>
  <c r="K102" i="6"/>
  <c r="M102" i="6"/>
  <c r="N102" i="6"/>
  <c r="O102" i="6"/>
  <c r="P102" i="6"/>
  <c r="Q102" i="6"/>
  <c r="L86" i="6" l="1"/>
  <c r="L102" i="6"/>
  <c r="A1" i="5"/>
  <c r="J18" i="3"/>
  <c r="I18" i="3"/>
  <c r="H18" i="3"/>
  <c r="G18" i="3"/>
  <c r="F18" i="3"/>
  <c r="E18" i="3"/>
  <c r="A2" i="3"/>
  <c r="A1" i="2"/>
  <c r="K98" i="1"/>
  <c r="J98" i="1"/>
  <c r="H98" i="1"/>
  <c r="H101" i="1" s="1"/>
  <c r="G97" i="1"/>
  <c r="G98" i="1" s="1"/>
  <c r="G101" i="1" s="1"/>
  <c r="K101" i="1" l="1"/>
  <c r="I97" i="1"/>
  <c r="I98" i="1" s="1"/>
  <c r="J101" i="1"/>
  <c r="I101" i="1" l="1"/>
  <c r="H104" i="1" s="1"/>
  <c r="R93" i="6" l="1"/>
  <c r="Q86" i="6"/>
  <c r="R86" i="6" l="1"/>
  <c r="P86" i="6"/>
</calcChain>
</file>

<file path=xl/sharedStrings.xml><?xml version="1.0" encoding="utf-8"?>
<sst xmlns="http://schemas.openxmlformats.org/spreadsheetml/2006/main" count="347" uniqueCount="107">
  <si>
    <t>LIBRO IVA VENTAS</t>
  </si>
  <si>
    <t xml:space="preserve">Razon Social: </t>
  </si>
  <si>
    <t>ISLA ECOLOGICA S.A.</t>
  </si>
  <si>
    <t>CUIT: 30-71543101-3</t>
  </si>
  <si>
    <t>Fecha</t>
  </si>
  <si>
    <t>Tipo Compr.</t>
  </si>
  <si>
    <t>Punto de venta</t>
  </si>
  <si>
    <t>Nro. Compr.</t>
  </si>
  <si>
    <t>Razón Social</t>
  </si>
  <si>
    <t>Cuit/DNI</t>
  </si>
  <si>
    <t>Neto Gravado 1*</t>
  </si>
  <si>
    <t>IVA % 10,5</t>
  </si>
  <si>
    <t>IVA % 21</t>
  </si>
  <si>
    <t>No Gravado</t>
  </si>
  <si>
    <t>Total</t>
  </si>
  <si>
    <t>Forma de Cobro</t>
  </si>
  <si>
    <t>Observaciones</t>
  </si>
  <si>
    <t>SUBTOTAL FC</t>
  </si>
  <si>
    <t>SUBTOTAL</t>
  </si>
  <si>
    <t>NOTAS DE CREDITO</t>
  </si>
  <si>
    <t>SUBTOTAL NOTAS DE CREDITO</t>
  </si>
  <si>
    <t>Totales</t>
  </si>
  <si>
    <t xml:space="preserve">Total IVA: </t>
  </si>
  <si>
    <t>*1 Hoy única actividad, Recuperacion de Materiales y Desechos no metalicos</t>
  </si>
  <si>
    <t>FACT</t>
  </si>
  <si>
    <t>FECHA</t>
  </si>
  <si>
    <t>CLIENTE</t>
  </si>
  <si>
    <t>CUIT</t>
  </si>
  <si>
    <t>IMPORTE</t>
  </si>
  <si>
    <t>IVA 21</t>
  </si>
  <si>
    <t>IVA 10,5</t>
  </si>
  <si>
    <t>IMPORTO</t>
  </si>
  <si>
    <t>FECHA PAGO</t>
  </si>
  <si>
    <t>FORMA DE PAGO</t>
  </si>
  <si>
    <t>RECIB Nº</t>
  </si>
  <si>
    <t>OBSERV.</t>
  </si>
  <si>
    <t xml:space="preserve">RECIBOS CLIENTE </t>
  </si>
  <si>
    <t>RECIBO</t>
  </si>
  <si>
    <t>RETENCIONES</t>
  </si>
  <si>
    <t>Importe total</t>
  </si>
  <si>
    <t>FORMA 
DE PAGO</t>
  </si>
  <si>
    <t>OBSERVACIONES</t>
  </si>
  <si>
    <t>IIBB/ cba</t>
  </si>
  <si>
    <t>GANANCIAS</t>
  </si>
  <si>
    <t>IVA</t>
  </si>
  <si>
    <t>SUSS</t>
  </si>
  <si>
    <t>OTROS</t>
  </si>
  <si>
    <t xml:space="preserve"> </t>
  </si>
  <si>
    <t>TOTALES →</t>
  </si>
  <si>
    <t>LIBRO IVA COMPRAS</t>
  </si>
  <si>
    <t>RAZON SOCIAL:</t>
  </si>
  <si>
    <t>ISLA ECOLOGICA SA</t>
  </si>
  <si>
    <t>Hoja Nº:</t>
  </si>
  <si>
    <t>CUIT:  30-71543101-3</t>
  </si>
  <si>
    <t>Nº Compr.</t>
  </si>
  <si>
    <t>Razon Social</t>
  </si>
  <si>
    <t>Cuit</t>
  </si>
  <si>
    <t>Condición</t>
  </si>
  <si>
    <t>Concepto</t>
  </si>
  <si>
    <t>Forma de Pago</t>
  </si>
  <si>
    <t>Neto Gravado</t>
  </si>
  <si>
    <t>Iva % 10,5</t>
  </si>
  <si>
    <t xml:space="preserve">Iva % 21 </t>
  </si>
  <si>
    <t>Iva 27%</t>
  </si>
  <si>
    <t>IVA 3%</t>
  </si>
  <si>
    <t>Perc. IIBB</t>
  </si>
  <si>
    <t>Perc. Munic.</t>
  </si>
  <si>
    <t>No Gravado y Exento</t>
  </si>
  <si>
    <t>RI</t>
  </si>
  <si>
    <t>MES: Enero 2023</t>
  </si>
  <si>
    <t>MES:Abril 2023</t>
  </si>
  <si>
    <t xml:space="preserve"> Factura B</t>
  </si>
  <si>
    <t xml:space="preserve"> Factura A</t>
  </si>
  <si>
    <t>QUITAM S A</t>
  </si>
  <si>
    <t>A</t>
  </si>
  <si>
    <t>EPEC</t>
  </si>
  <si>
    <t>30-99902748-9</t>
  </si>
  <si>
    <t>efectivo</t>
  </si>
  <si>
    <t>LX ARGENTINA S.A.</t>
  </si>
  <si>
    <t>La factura final con todos los impuestos fue de $$165.829,60</t>
  </si>
  <si>
    <t>02/03/2026</t>
  </si>
  <si>
    <t>03/03/2026</t>
  </si>
  <si>
    <t>04/03/2026</t>
  </si>
  <si>
    <t>05/03/2026</t>
  </si>
  <si>
    <t>06/03/2026</t>
  </si>
  <si>
    <t>07/03/2026</t>
  </si>
  <si>
    <t>09/03/2026</t>
  </si>
  <si>
    <t>10/03/2026</t>
  </si>
  <si>
    <t>11/03/2026</t>
  </si>
  <si>
    <t>12/03/2026</t>
  </si>
  <si>
    <t>13/03/2026</t>
  </si>
  <si>
    <t>14/03/2026</t>
  </si>
  <si>
    <t>16/03/2026</t>
  </si>
  <si>
    <t>17/03/2026</t>
  </si>
  <si>
    <t>18/03/2026</t>
  </si>
  <si>
    <t>19/03/2026</t>
  </si>
  <si>
    <t>20/03/2026</t>
  </si>
  <si>
    <t>21/03/2026</t>
  </si>
  <si>
    <t>23/03/2026</t>
  </si>
  <si>
    <t>25/03/2026</t>
  </si>
  <si>
    <t>26/03/2026</t>
  </si>
  <si>
    <t>27/03/2026</t>
  </si>
  <si>
    <t>28/03/2026</t>
  </si>
  <si>
    <t>30/03/2026</t>
  </si>
  <si>
    <t>31/03/2026</t>
  </si>
  <si>
    <t>MUNICIPALIDAD DE SALSIPUEDES</t>
  </si>
  <si>
    <t>Consumidor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</si>
</sst>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/d/yyyy"/>
    <numFmt numFmtId="165" formatCode="0000"/>
    <numFmt numFmtId="166" formatCode="00000000"/>
    <numFmt numFmtId="167" formatCode="[$$-2C0A]\ #,##0.00"/>
    <numFmt numFmtId="168" formatCode="dd/mm/yy;@"/>
  </numFmts>
  <fonts count="3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1"/>
      <name val="Arial"/>
      <family val="2"/>
      <charset val="1"/>
    </font>
    <font>
      <sz val="9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0"/>
      <name val="Century Gothic"/>
      <family val="2"/>
      <charset val="1"/>
    </font>
    <font>
      <sz val="8"/>
      <name val="Century Gothic"/>
      <family val="2"/>
      <charset val="1"/>
    </font>
    <font>
      <b/>
      <sz val="16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1"/>
      <name val="Calibri"/>
      <family val="2"/>
      <charset val="1"/>
    </font>
    <font>
      <b/>
      <u/>
      <sz val="9"/>
      <name val="Century Gothic"/>
      <family val="2"/>
      <charset val="1"/>
    </font>
    <font>
      <b/>
      <u/>
      <sz val="8"/>
      <name val="Century Gothic"/>
      <family val="2"/>
      <charset val="1"/>
    </font>
    <font>
      <b/>
      <sz val="10"/>
      <name val="Arial"/>
      <family val="2"/>
    </font>
    <font>
      <b/>
      <sz val="10"/>
      <color indexed="62"/>
      <name val="Arial"/>
      <family val="2"/>
    </font>
    <font>
      <sz val="10"/>
      <color indexed="62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0"/>
      <name val="Bookman Old Style"/>
      <family val="1"/>
    </font>
    <font>
      <b/>
      <u/>
      <sz val="14"/>
      <name val="Bookman Old Style"/>
      <family val="1"/>
    </font>
    <font>
      <sz val="11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62"/>
      <name val="Calibri"/>
      <family val="2"/>
      <scheme val="minor"/>
    </font>
    <font>
      <sz val="10"/>
      <color rgb="FF000000"/>
      <name val="Arial"/>
      <family val="2"/>
    </font>
    <font>
      <b/>
      <sz val="11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A6A6A6"/>
        <bgColor rgb="FF9999FF"/>
      </patternFill>
    </fill>
    <fill>
      <patternFill patternType="solid">
        <fgColor rgb="FFD9D9D9"/>
        <bgColor rgb="FFCCC1DA"/>
      </patternFill>
    </fill>
    <fill>
      <patternFill patternType="solid">
        <fgColor rgb="FFCCC1DA"/>
        <bgColor rgb="FFD9D9D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5" fillId="0" borderId="0"/>
    <xf numFmtId="0" fontId="5" fillId="0" borderId="0"/>
    <xf numFmtId="0" fontId="4" fillId="0" borderId="0"/>
    <xf numFmtId="0" fontId="23" fillId="0" borderId="0"/>
    <xf numFmtId="0" fontId="27" fillId="0" borderId="0"/>
    <xf numFmtId="0" fontId="3" fillId="0" borderId="0"/>
    <xf numFmtId="0" fontId="28" fillId="0" borderId="0"/>
    <xf numFmtId="0" fontId="30" fillId="0" borderId="0"/>
  </cellStyleXfs>
  <cellXfs count="296">
    <xf numFmtId="0" fontId="0" fillId="0" borderId="0" xfId="0"/>
    <xf numFmtId="0" fontId="5" fillId="0" borderId="0" xfId="1" applyFont="1" applyAlignment="1">
      <alignment horizontal="left"/>
    </xf>
    <xf numFmtId="0" fontId="5" fillId="0" borderId="0" xfId="1" applyFont="1" applyAlignment="1">
      <alignment horizontal="center"/>
    </xf>
    <xf numFmtId="0" fontId="7" fillId="0" borderId="0" xfId="1" applyFont="1" applyAlignment="1">
      <alignment horizontal="left"/>
    </xf>
    <xf numFmtId="17" fontId="7" fillId="0" borderId="0" xfId="1" applyNumberFormat="1" applyFont="1" applyAlignment="1">
      <alignment horizontal="left"/>
    </xf>
    <xf numFmtId="164" fontId="8" fillId="0" borderId="2" xfId="2" applyNumberFormat="1" applyFont="1" applyBorder="1" applyAlignment="1">
      <alignment horizontal="center"/>
    </xf>
    <xf numFmtId="0" fontId="5" fillId="0" borderId="2" xfId="2" applyFont="1" applyBorder="1" applyAlignment="1">
      <alignment horizontal="center"/>
    </xf>
    <xf numFmtId="165" fontId="5" fillId="0" borderId="2" xfId="2" applyNumberFormat="1" applyFont="1" applyBorder="1" applyAlignment="1">
      <alignment horizontal="center"/>
    </xf>
    <xf numFmtId="166" fontId="5" fillId="0" borderId="2" xfId="2" applyNumberFormat="1" applyFont="1" applyBorder="1" applyAlignment="1">
      <alignment horizontal="center"/>
    </xf>
    <xf numFmtId="4" fontId="8" fillId="0" borderId="2" xfId="2" applyNumberFormat="1" applyFont="1" applyBorder="1" applyAlignment="1">
      <alignment horizontal="left"/>
    </xf>
    <xf numFmtId="4" fontId="8" fillId="0" borderId="2" xfId="2" applyNumberFormat="1" applyFont="1" applyBorder="1" applyAlignment="1">
      <alignment horizontal="center"/>
    </xf>
    <xf numFmtId="0" fontId="8" fillId="0" borderId="2" xfId="2" applyFont="1" applyBorder="1" applyAlignment="1">
      <alignment horizontal="center"/>
    </xf>
    <xf numFmtId="0" fontId="10" fillId="0" borderId="2" xfId="2" applyFont="1" applyBorder="1" applyAlignment="1">
      <alignment horizontal="center"/>
    </xf>
    <xf numFmtId="0" fontId="0" fillId="0" borderId="2" xfId="0" applyBorder="1"/>
    <xf numFmtId="164" fontId="6" fillId="0" borderId="3" xfId="1" applyNumberFormat="1" applyFont="1" applyBorder="1" applyAlignment="1">
      <alignment horizontal="left"/>
    </xf>
    <xf numFmtId="0" fontId="6" fillId="0" borderId="4" xfId="1" applyFont="1" applyBorder="1" applyAlignment="1">
      <alignment horizontal="left"/>
    </xf>
    <xf numFmtId="4" fontId="6" fillId="0" borderId="5" xfId="1" applyNumberFormat="1" applyFont="1" applyBorder="1" applyAlignment="1">
      <alignment horizontal="left"/>
    </xf>
    <xf numFmtId="164" fontId="5" fillId="0" borderId="0" xfId="1" applyNumberFormat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0" xfId="1" applyFont="1" applyBorder="1" applyAlignment="1">
      <alignment horizontal="center"/>
    </xf>
    <xf numFmtId="4" fontId="5" fillId="0" borderId="0" xfId="1" applyNumberFormat="1" applyFont="1" applyBorder="1" applyAlignment="1">
      <alignment horizontal="left"/>
    </xf>
    <xf numFmtId="0" fontId="5" fillId="0" borderId="0" xfId="1" applyFont="1" applyBorder="1"/>
    <xf numFmtId="164" fontId="5" fillId="0" borderId="6" xfId="1" applyNumberFormat="1" applyFont="1" applyBorder="1" applyAlignment="1">
      <alignment horizontal="left"/>
    </xf>
    <xf numFmtId="0" fontId="5" fillId="0" borderId="7" xfId="1" applyFont="1" applyBorder="1" applyAlignment="1">
      <alignment horizontal="left"/>
    </xf>
    <xf numFmtId="0" fontId="5" fillId="0" borderId="8" xfId="1" applyFont="1" applyBorder="1" applyAlignment="1">
      <alignment horizontal="left"/>
    </xf>
    <xf numFmtId="0" fontId="5" fillId="0" borderId="9" xfId="1" applyFont="1" applyBorder="1" applyAlignment="1">
      <alignment horizontal="left"/>
    </xf>
    <xf numFmtId="0" fontId="5" fillId="0" borderId="9" xfId="1" applyFont="1" applyBorder="1" applyAlignment="1">
      <alignment horizontal="center"/>
    </xf>
    <xf numFmtId="4" fontId="5" fillId="0" borderId="9" xfId="1" applyNumberFormat="1" applyFont="1" applyBorder="1" applyAlignment="1">
      <alignment horizontal="left"/>
    </xf>
    <xf numFmtId="4" fontId="5" fillId="0" borderId="10" xfId="1" applyNumberFormat="1" applyFont="1" applyBorder="1" applyAlignment="1">
      <alignment horizontal="left"/>
    </xf>
    <xf numFmtId="164" fontId="8" fillId="0" borderId="12" xfId="2" applyNumberFormat="1" applyFont="1" applyBorder="1" applyAlignment="1">
      <alignment horizontal="center"/>
    </xf>
    <xf numFmtId="0" fontId="8" fillId="0" borderId="13" xfId="2" applyFont="1" applyBorder="1" applyAlignment="1">
      <alignment horizontal="center"/>
    </xf>
    <xf numFmtId="4" fontId="8" fillId="0" borderId="13" xfId="2" applyNumberFormat="1" applyFont="1" applyBorder="1" applyAlignment="1">
      <alignment horizontal="center"/>
    </xf>
    <xf numFmtId="0" fontId="10" fillId="0" borderId="13" xfId="2" applyFont="1" applyBorder="1" applyAlignment="1">
      <alignment horizontal="center"/>
    </xf>
    <xf numFmtId="0" fontId="8" fillId="0" borderId="13" xfId="2" applyFont="1" applyBorder="1" applyAlignment="1">
      <alignment horizontal="center"/>
    </xf>
    <xf numFmtId="4" fontId="8" fillId="0" borderId="14" xfId="2" applyNumberFormat="1" applyFont="1" applyBorder="1" applyAlignment="1">
      <alignment horizontal="center"/>
    </xf>
    <xf numFmtId="164" fontId="8" fillId="0" borderId="16" xfId="2" applyNumberFormat="1" applyFont="1" applyBorder="1" applyAlignment="1">
      <alignment horizontal="center"/>
    </xf>
    <xf numFmtId="164" fontId="5" fillId="0" borderId="17" xfId="1" applyNumberFormat="1" applyFont="1" applyBorder="1" applyAlignment="1">
      <alignment horizontal="left"/>
    </xf>
    <xf numFmtId="0" fontId="5" fillId="0" borderId="18" xfId="1" applyFont="1" applyBorder="1" applyAlignment="1">
      <alignment horizontal="left"/>
    </xf>
    <xf numFmtId="0" fontId="5" fillId="0" borderId="18" xfId="1" applyFont="1" applyBorder="1" applyAlignment="1">
      <alignment horizontal="center"/>
    </xf>
    <xf numFmtId="4" fontId="5" fillId="0" borderId="18" xfId="1" applyNumberFormat="1" applyFont="1" applyBorder="1" applyAlignment="1">
      <alignment horizontal="left"/>
    </xf>
    <xf numFmtId="4" fontId="5" fillId="0" borderId="19" xfId="1" applyNumberFormat="1" applyFont="1" applyBorder="1" applyAlignment="1">
      <alignment horizontal="left"/>
    </xf>
    <xf numFmtId="0" fontId="0" fillId="0" borderId="0" xfId="0"/>
    <xf numFmtId="0" fontId="6" fillId="0" borderId="4" xfId="1" applyFont="1" applyBorder="1" applyAlignment="1">
      <alignment horizontal="center"/>
    </xf>
    <xf numFmtId="164" fontId="5" fillId="0" borderId="20" xfId="1" applyNumberFormat="1" applyFont="1" applyBorder="1" applyAlignment="1">
      <alignment horizontal="left"/>
    </xf>
    <xf numFmtId="0" fontId="5" fillId="0" borderId="21" xfId="1" applyFont="1" applyBorder="1" applyAlignment="1">
      <alignment horizontal="left"/>
    </xf>
    <xf numFmtId="0" fontId="5" fillId="0" borderId="21" xfId="1" applyFont="1" applyBorder="1" applyAlignment="1">
      <alignment horizontal="center"/>
    </xf>
    <xf numFmtId="4" fontId="5" fillId="0" borderId="22" xfId="1" applyNumberFormat="1" applyFont="1" applyBorder="1" applyAlignment="1">
      <alignment horizontal="left"/>
    </xf>
    <xf numFmtId="4" fontId="5" fillId="0" borderId="23" xfId="1" applyNumberFormat="1" applyFont="1" applyBorder="1" applyAlignment="1">
      <alignment horizontal="left"/>
    </xf>
    <xf numFmtId="0" fontId="5" fillId="0" borderId="7" xfId="1" applyFont="1" applyBorder="1" applyAlignment="1">
      <alignment horizontal="left"/>
    </xf>
    <xf numFmtId="0" fontId="5" fillId="0" borderId="9" xfId="1" applyFont="1" applyBorder="1" applyAlignment="1">
      <alignment horizontal="left"/>
    </xf>
    <xf numFmtId="0" fontId="6" fillId="0" borderId="9" xfId="1" applyFont="1" applyBorder="1" applyAlignment="1">
      <alignment horizontal="center"/>
    </xf>
    <xf numFmtId="4" fontId="6" fillId="0" borderId="11" xfId="1" applyNumberFormat="1" applyFont="1" applyBorder="1" applyAlignment="1">
      <alignment horizontal="left"/>
    </xf>
    <xf numFmtId="4" fontId="5" fillId="0" borderId="0" xfId="1" applyNumberFormat="1" applyFont="1" applyAlignment="1">
      <alignment horizontal="left"/>
    </xf>
    <xf numFmtId="0" fontId="5" fillId="0" borderId="0" xfId="1" applyFont="1" applyAlignment="1">
      <alignment horizontal="left"/>
    </xf>
    <xf numFmtId="4" fontId="5" fillId="0" borderId="0" xfId="1" applyNumberFormat="1" applyFont="1" applyAlignment="1">
      <alignment horizontal="left"/>
    </xf>
    <xf numFmtId="4" fontId="6" fillId="2" borderId="0" xfId="1" applyNumberFormat="1" applyFont="1" applyFill="1" applyAlignment="1">
      <alignment horizontal="left"/>
    </xf>
    <xf numFmtId="0" fontId="11" fillId="0" borderId="0" xfId="0" applyFont="1"/>
    <xf numFmtId="17" fontId="12" fillId="0" borderId="0" xfId="0" applyNumberFormat="1" applyFont="1"/>
    <xf numFmtId="0" fontId="13" fillId="3" borderId="2" xfId="0" applyFont="1" applyFill="1" applyBorder="1" applyAlignment="1">
      <alignment horizontal="center"/>
    </xf>
    <xf numFmtId="166" fontId="8" fillId="0" borderId="2" xfId="2" applyNumberFormat="1" applyFont="1" applyBorder="1" applyAlignment="1">
      <alignment horizontal="center"/>
    </xf>
    <xf numFmtId="16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9" fillId="0" borderId="0" xfId="0" applyFont="1"/>
    <xf numFmtId="16" fontId="8" fillId="0" borderId="2" xfId="0" applyNumberFormat="1" applyFont="1" applyBorder="1" applyAlignment="1">
      <alignment horizontal="center" wrapText="1"/>
    </xf>
    <xf numFmtId="16" fontId="14" fillId="0" borderId="2" xfId="0" applyNumberFormat="1" applyFont="1" applyBorder="1" applyAlignment="1">
      <alignment horizontal="center"/>
    </xf>
    <xf numFmtId="0" fontId="15" fillId="0" borderId="0" xfId="0" applyFont="1"/>
    <xf numFmtId="0" fontId="16" fillId="0" borderId="0" xfId="0" applyFont="1"/>
    <xf numFmtId="0" fontId="11" fillId="5" borderId="2" xfId="0" applyFont="1" applyFill="1" applyBorder="1" applyAlignment="1">
      <alignment horizontal="center" vertical="center"/>
    </xf>
    <xf numFmtId="16" fontId="0" fillId="0" borderId="2" xfId="0" applyNumberFormat="1" applyBorder="1"/>
    <xf numFmtId="0" fontId="0" fillId="0" borderId="2" xfId="0" applyBorder="1" applyAlignment="1">
      <alignment horizontal="left"/>
    </xf>
    <xf numFmtId="167" fontId="0" fillId="0" borderId="2" xfId="0" applyNumberFormat="1" applyBorder="1"/>
    <xf numFmtId="0" fontId="0" fillId="0" borderId="2" xfId="0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left"/>
    </xf>
    <xf numFmtId="4" fontId="17" fillId="0" borderId="2" xfId="0" applyNumberFormat="1" applyFont="1" applyBorder="1" applyAlignment="1">
      <alignment horizontal="center"/>
    </xf>
    <xf numFmtId="4" fontId="5" fillId="0" borderId="2" xfId="2" applyNumberFormat="1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4" fontId="5" fillId="0" borderId="2" xfId="2" applyNumberFormat="1" applyBorder="1" applyAlignment="1">
      <alignment horizontal="center"/>
    </xf>
    <xf numFmtId="4" fontId="0" fillId="0" borderId="25" xfId="0" applyNumberFormat="1" applyBorder="1" applyAlignment="1"/>
    <xf numFmtId="0" fontId="6" fillId="0" borderId="28" xfId="2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18" fillId="6" borderId="30" xfId="0" applyFont="1" applyFill="1" applyBorder="1" applyAlignment="1">
      <alignment horizontal="center"/>
    </xf>
    <xf numFmtId="0" fontId="18" fillId="6" borderId="30" xfId="0" applyFont="1" applyFill="1" applyBorder="1" applyAlignment="1">
      <alignment horizontal="center" wrapText="1"/>
    </xf>
    <xf numFmtId="0" fontId="19" fillId="6" borderId="30" xfId="0" applyFont="1" applyFill="1" applyBorder="1" applyAlignment="1">
      <alignment horizontal="center"/>
    </xf>
    <xf numFmtId="9" fontId="19" fillId="6" borderId="30" xfId="0" applyNumberFormat="1" applyFont="1" applyFill="1" applyBorder="1" applyAlignment="1">
      <alignment horizontal="center"/>
    </xf>
    <xf numFmtId="10" fontId="19" fillId="6" borderId="30" xfId="0" applyNumberFormat="1" applyFont="1" applyFill="1" applyBorder="1" applyAlignment="1">
      <alignment horizontal="center"/>
    </xf>
    <xf numFmtId="9" fontId="19" fillId="6" borderId="30" xfId="0" applyNumberFormat="1" applyFont="1" applyFill="1" applyBorder="1" applyAlignment="1">
      <alignment horizontal="center" wrapText="1"/>
    </xf>
    <xf numFmtId="9" fontId="19" fillId="6" borderId="21" xfId="0" applyNumberFormat="1" applyFont="1" applyFill="1" applyBorder="1" applyAlignment="1">
      <alignment horizontal="center" wrapText="1"/>
    </xf>
    <xf numFmtId="164" fontId="5" fillId="0" borderId="2" xfId="2" applyNumberFormat="1" applyFont="1" applyBorder="1" applyAlignment="1">
      <alignment horizontal="center"/>
    </xf>
    <xf numFmtId="0" fontId="4" fillId="0" borderId="0" xfId="3" applyFill="1" applyAlignment="1"/>
    <xf numFmtId="0" fontId="4" fillId="0" borderId="0" xfId="3" applyFill="1" applyAlignment="1">
      <alignment horizontal="left"/>
    </xf>
    <xf numFmtId="0" fontId="4" fillId="0" borderId="0" xfId="3" applyFill="1" applyAlignment="1">
      <alignment horizontal="right"/>
    </xf>
    <xf numFmtId="0" fontId="4" fillId="0" borderId="0" xfId="3" applyNumberFormat="1" applyFill="1" applyAlignment="1"/>
    <xf numFmtId="4" fontId="20" fillId="0" borderId="9" xfId="3" applyNumberFormat="1" applyFont="1" applyFill="1" applyBorder="1" applyAlignment="1">
      <alignment horizontal="right"/>
    </xf>
    <xf numFmtId="0" fontId="21" fillId="0" borderId="9" xfId="3" applyFont="1" applyFill="1" applyBorder="1" applyAlignment="1">
      <alignment horizontal="left"/>
    </xf>
    <xf numFmtId="0" fontId="20" fillId="0" borderId="10" xfId="3" applyFont="1" applyFill="1" applyBorder="1" applyAlignment="1">
      <alignment horizontal="left"/>
    </xf>
    <xf numFmtId="0" fontId="20" fillId="0" borderId="9" xfId="3" applyFont="1" applyFill="1" applyBorder="1" applyAlignment="1">
      <alignment horizontal="left"/>
    </xf>
    <xf numFmtId="14" fontId="20" fillId="0" borderId="7" xfId="3" applyNumberFormat="1" applyFont="1" applyFill="1" applyBorder="1" applyAlignment="1"/>
    <xf numFmtId="4" fontId="4" fillId="0" borderId="31" xfId="3" applyNumberFormat="1" applyFill="1" applyBorder="1" applyAlignment="1"/>
    <xf numFmtId="4" fontId="4" fillId="0" borderId="30" xfId="3" applyNumberFormat="1" applyFill="1" applyBorder="1" applyAlignment="1">
      <alignment horizontal="right"/>
    </xf>
    <xf numFmtId="4" fontId="4" fillId="0" borderId="30" xfId="3" applyNumberFormat="1" applyFill="1" applyBorder="1" applyAlignment="1">
      <alignment horizontal="center"/>
    </xf>
    <xf numFmtId="4" fontId="4" fillId="0" borderId="2" xfId="3" applyNumberFormat="1" applyFill="1" applyBorder="1" applyAlignment="1"/>
    <xf numFmtId="4" fontId="4" fillId="0" borderId="30" xfId="3" applyNumberFormat="1" applyFill="1" applyBorder="1" applyAlignment="1">
      <alignment horizontal="left"/>
    </xf>
    <xf numFmtId="0" fontId="22" fillId="0" borderId="30" xfId="3" applyFont="1" applyFill="1" applyBorder="1" applyAlignment="1">
      <alignment horizontal="left"/>
    </xf>
    <xf numFmtId="0" fontId="23" fillId="0" borderId="30" xfId="3" applyFont="1" applyFill="1" applyBorder="1" applyAlignment="1">
      <alignment horizontal="left"/>
    </xf>
    <xf numFmtId="0" fontId="23" fillId="0" borderId="30" xfId="3" applyFont="1" applyFill="1" applyBorder="1" applyAlignment="1"/>
    <xf numFmtId="0" fontId="23" fillId="0" borderId="30" xfId="3" applyNumberFormat="1" applyFont="1" applyFill="1" applyBorder="1" applyAlignment="1">
      <alignment horizontal="center"/>
    </xf>
    <xf numFmtId="14" fontId="23" fillId="0" borderId="29" xfId="3" applyNumberFormat="1" applyFont="1" applyFill="1" applyBorder="1" applyAlignment="1"/>
    <xf numFmtId="4" fontId="4" fillId="0" borderId="25" xfId="3" applyNumberFormat="1" applyFill="1" applyBorder="1" applyAlignment="1"/>
    <xf numFmtId="4" fontId="4" fillId="0" borderId="2" xfId="3" applyNumberFormat="1" applyFill="1" applyBorder="1" applyAlignment="1">
      <alignment horizontal="right"/>
    </xf>
    <xf numFmtId="4" fontId="4" fillId="0" borderId="2" xfId="3" applyNumberFormat="1" applyFill="1" applyBorder="1" applyAlignment="1">
      <alignment horizontal="center"/>
    </xf>
    <xf numFmtId="4" fontId="4" fillId="0" borderId="2" xfId="3" applyNumberFormat="1" applyFill="1" applyBorder="1" applyAlignment="1">
      <alignment horizontal="left"/>
    </xf>
    <xf numFmtId="0" fontId="22" fillId="0" borderId="2" xfId="3" applyFont="1" applyFill="1" applyBorder="1" applyAlignment="1">
      <alignment horizontal="left"/>
    </xf>
    <xf numFmtId="0" fontId="23" fillId="0" borderId="2" xfId="3" applyFont="1" applyFill="1" applyBorder="1" applyAlignment="1">
      <alignment horizontal="left"/>
    </xf>
    <xf numFmtId="0" fontId="23" fillId="0" borderId="2" xfId="3" applyFont="1" applyFill="1" applyBorder="1" applyAlignment="1"/>
    <xf numFmtId="0" fontId="23" fillId="0" borderId="2" xfId="3" applyNumberFormat="1" applyFont="1" applyFill="1" applyBorder="1" applyAlignment="1">
      <alignment horizontal="center"/>
    </xf>
    <xf numFmtId="14" fontId="23" fillId="0" borderId="16" xfId="3" applyNumberFormat="1" applyFont="1" applyFill="1" applyBorder="1" applyAlignment="1"/>
    <xf numFmtId="4" fontId="4" fillId="0" borderId="15" xfId="3" applyNumberFormat="1" applyFill="1" applyBorder="1" applyAlignment="1"/>
    <xf numFmtId="4" fontId="4" fillId="0" borderId="13" xfId="3" applyNumberFormat="1" applyFill="1" applyBorder="1" applyAlignment="1">
      <alignment horizontal="right"/>
    </xf>
    <xf numFmtId="4" fontId="4" fillId="0" borderId="13" xfId="3" applyNumberFormat="1" applyFill="1" applyBorder="1" applyAlignment="1">
      <alignment horizontal="center"/>
    </xf>
    <xf numFmtId="4" fontId="4" fillId="0" borderId="13" xfId="3" applyNumberFormat="1" applyFill="1" applyBorder="1" applyAlignment="1"/>
    <xf numFmtId="4" fontId="4" fillId="0" borderId="13" xfId="3" applyNumberFormat="1" applyFill="1" applyBorder="1" applyAlignment="1">
      <alignment horizontal="left"/>
    </xf>
    <xf numFmtId="0" fontId="22" fillId="0" borderId="13" xfId="3" applyFont="1" applyFill="1" applyBorder="1" applyAlignment="1">
      <alignment horizontal="left"/>
    </xf>
    <xf numFmtId="0" fontId="23" fillId="0" borderId="13" xfId="3" applyFont="1" applyFill="1" applyBorder="1" applyAlignment="1">
      <alignment horizontal="left"/>
    </xf>
    <xf numFmtId="0" fontId="23" fillId="0" borderId="13" xfId="3" applyFont="1" applyFill="1" applyBorder="1" applyAlignment="1"/>
    <xf numFmtId="0" fontId="23" fillId="0" borderId="13" xfId="3" applyNumberFormat="1" applyFont="1" applyFill="1" applyBorder="1" applyAlignment="1">
      <alignment horizontal="center"/>
    </xf>
    <xf numFmtId="14" fontId="23" fillId="0" borderId="12" xfId="3" applyNumberFormat="1" applyFont="1" applyFill="1" applyBorder="1" applyAlignment="1"/>
    <xf numFmtId="4" fontId="4" fillId="0" borderId="0" xfId="3" applyNumberFormat="1" applyFill="1" applyBorder="1" applyAlignment="1"/>
    <xf numFmtId="4" fontId="4" fillId="0" borderId="0" xfId="3" applyNumberFormat="1" applyFill="1" applyBorder="1" applyAlignment="1">
      <alignment horizontal="right"/>
    </xf>
    <xf numFmtId="4" fontId="4" fillId="0" borderId="0" xfId="3" applyNumberFormat="1" applyFill="1" applyBorder="1" applyAlignment="1">
      <alignment horizontal="center"/>
    </xf>
    <xf numFmtId="4" fontId="4" fillId="0" borderId="0" xfId="3" applyNumberFormat="1" applyFill="1" applyBorder="1" applyAlignment="1">
      <alignment horizontal="left"/>
    </xf>
    <xf numFmtId="0" fontId="22" fillId="0" borderId="0" xfId="3" applyFont="1" applyFill="1" applyBorder="1" applyAlignment="1">
      <alignment horizontal="left"/>
    </xf>
    <xf numFmtId="4" fontId="20" fillId="0" borderId="0" xfId="3" applyNumberFormat="1" applyFont="1" applyFill="1" applyBorder="1" applyAlignment="1">
      <alignment horizontal="right"/>
    </xf>
    <xf numFmtId="0" fontId="21" fillId="0" borderId="0" xfId="3" applyFont="1" applyFill="1" applyBorder="1" applyAlignment="1">
      <alignment horizontal="left"/>
    </xf>
    <xf numFmtId="0" fontId="20" fillId="0" borderId="0" xfId="3" applyFont="1" applyFill="1" applyBorder="1" applyAlignment="1">
      <alignment horizontal="left"/>
    </xf>
    <xf numFmtId="0" fontId="20" fillId="0" borderId="0" xfId="3" applyFont="1" applyFill="1" applyBorder="1" applyAlignment="1"/>
    <xf numFmtId="0" fontId="20" fillId="0" borderId="0" xfId="3" applyNumberFormat="1" applyFont="1" applyFill="1" applyBorder="1" applyAlignment="1">
      <alignment horizontal="center"/>
    </xf>
    <xf numFmtId="14" fontId="20" fillId="0" borderId="0" xfId="3" applyNumberFormat="1" applyFont="1" applyFill="1" applyBorder="1" applyAlignment="1"/>
    <xf numFmtId="4" fontId="20" fillId="0" borderId="2" xfId="3" applyNumberFormat="1" applyFont="1" applyFill="1" applyBorder="1" applyAlignment="1">
      <alignment horizontal="right"/>
    </xf>
    <xf numFmtId="0" fontId="23" fillId="0" borderId="2" xfId="4" applyFont="1" applyFill="1" applyBorder="1" applyAlignment="1">
      <alignment horizontal="center"/>
    </xf>
    <xf numFmtId="4" fontId="23" fillId="0" borderId="2" xfId="4" applyNumberFormat="1" applyFill="1" applyBorder="1" applyAlignment="1">
      <alignment horizontal="center"/>
    </xf>
    <xf numFmtId="1" fontId="23" fillId="0" borderId="2" xfId="3" applyNumberFormat="1" applyFont="1" applyFill="1" applyBorder="1" applyAlignment="1">
      <alignment horizontal="center"/>
    </xf>
    <xf numFmtId="0" fontId="23" fillId="0" borderId="2" xfId="3" applyFont="1" applyFill="1" applyBorder="1" applyAlignment="1">
      <alignment horizontal="center"/>
    </xf>
    <xf numFmtId="168" fontId="23" fillId="0" borderId="2" xfId="4" applyNumberFormat="1" applyFont="1" applyFill="1" applyBorder="1" applyAlignment="1">
      <alignment horizontal="center"/>
    </xf>
    <xf numFmtId="4" fontId="24" fillId="0" borderId="2" xfId="3" applyNumberFormat="1" applyFont="1" applyFill="1" applyBorder="1" applyAlignment="1">
      <alignment horizontal="center"/>
    </xf>
    <xf numFmtId="0" fontId="4" fillId="0" borderId="0" xfId="3" applyFill="1" applyBorder="1" applyAlignment="1"/>
    <xf numFmtId="0" fontId="4" fillId="0" borderId="0" xfId="3" applyFill="1" applyAlignment="1">
      <alignment horizontal="center"/>
    </xf>
    <xf numFmtId="0" fontId="4" fillId="0" borderId="0" xfId="3" applyNumberFormat="1" applyFill="1" applyAlignment="1">
      <alignment horizontal="center"/>
    </xf>
    <xf numFmtId="0" fontId="20" fillId="0" borderId="0" xfId="3" applyFont="1" applyFill="1" applyAlignment="1"/>
    <xf numFmtId="4" fontId="4" fillId="0" borderId="0" xfId="3" applyNumberFormat="1" applyFill="1" applyAlignment="1"/>
    <xf numFmtId="4" fontId="4" fillId="0" borderId="0" xfId="3" applyNumberFormat="1" applyFill="1" applyAlignment="1">
      <alignment horizontal="left"/>
    </xf>
    <xf numFmtId="0" fontId="23" fillId="0" borderId="0" xfId="3" applyFont="1" applyFill="1" applyAlignment="1"/>
    <xf numFmtId="17" fontId="4" fillId="0" borderId="0" xfId="3" applyNumberFormat="1" applyFill="1" applyAlignment="1"/>
    <xf numFmtId="0" fontId="25" fillId="0" borderId="0" xfId="3" applyFont="1" applyFill="1" applyAlignment="1">
      <alignment horizontal="right"/>
    </xf>
    <xf numFmtId="0" fontId="20" fillId="0" borderId="0" xfId="3" applyNumberFormat="1" applyFont="1" applyFill="1" applyAlignment="1">
      <alignment horizontal="center"/>
    </xf>
    <xf numFmtId="4" fontId="23" fillId="0" borderId="26" xfId="4" applyNumberFormat="1" applyFill="1" applyBorder="1" applyAlignment="1">
      <alignment horizontal="right"/>
    </xf>
    <xf numFmtId="4" fontId="0" fillId="0" borderId="2" xfId="0" applyNumberFormat="1" applyFill="1" applyBorder="1" applyAlignment="1">
      <alignment horizontal="right"/>
    </xf>
    <xf numFmtId="0" fontId="0" fillId="0" borderId="0" xfId="0" applyBorder="1"/>
    <xf numFmtId="1" fontId="23" fillId="0" borderId="2" xfId="0" applyNumberFormat="1" applyFont="1" applyBorder="1" applyAlignment="1">
      <alignment horizontal="center"/>
    </xf>
    <xf numFmtId="1" fontId="0" fillId="0" borderId="0" xfId="0" applyNumberFormat="1"/>
    <xf numFmtId="2" fontId="0" fillId="0" borderId="0" xfId="0" applyNumberFormat="1"/>
    <xf numFmtId="0" fontId="5" fillId="0" borderId="0" xfId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0" fontId="23" fillId="0" borderId="2" xfId="4" applyFont="1" applyFill="1" applyBorder="1" applyAlignment="1">
      <alignment horizontal="center"/>
    </xf>
    <xf numFmtId="165" fontId="23" fillId="0" borderId="2" xfId="4" applyNumberFormat="1" applyFont="1" applyFill="1" applyBorder="1" applyAlignment="1">
      <alignment horizontal="center"/>
    </xf>
    <xf numFmtId="166" fontId="23" fillId="0" borderId="2" xfId="4" applyNumberFormat="1" applyFont="1" applyFill="1" applyBorder="1" applyAlignment="1">
      <alignment horizontal="center"/>
    </xf>
    <xf numFmtId="4" fontId="23" fillId="0" borderId="2" xfId="4" applyNumberFormat="1" applyFont="1" applyFill="1" applyBorder="1" applyAlignment="1">
      <alignment horizontal="center"/>
    </xf>
    <xf numFmtId="168" fontId="23" fillId="0" borderId="27" xfId="4" applyNumberFormat="1" applyFont="1" applyFill="1" applyBorder="1" applyAlignment="1">
      <alignment horizontal="center"/>
    </xf>
    <xf numFmtId="0" fontId="23" fillId="0" borderId="2" xfId="0" applyFont="1" applyFill="1" applyBorder="1" applyAlignment="1">
      <alignment horizontal="center"/>
    </xf>
    <xf numFmtId="4" fontId="29" fillId="0" borderId="2" xfId="0" applyNumberFormat="1" applyFont="1" applyFill="1" applyBorder="1" applyAlignment="1">
      <alignment horizontal="right"/>
    </xf>
    <xf numFmtId="0" fontId="24" fillId="0" borderId="0" xfId="3" applyFont="1" applyFill="1" applyBorder="1" applyAlignment="1"/>
    <xf numFmtId="0" fontId="24" fillId="0" borderId="0" xfId="3" applyFont="1" applyFill="1" applyAlignment="1"/>
    <xf numFmtId="0" fontId="5" fillId="0" borderId="0" xfId="1" applyFont="1" applyAlignment="1">
      <alignment horizontal="left" wrapText="1"/>
    </xf>
    <xf numFmtId="0" fontId="7" fillId="0" borderId="0" xfId="1" applyFont="1" applyAlignment="1">
      <alignment horizontal="left" wrapText="1"/>
    </xf>
    <xf numFmtId="0" fontId="5" fillId="0" borderId="0" xfId="1" applyFont="1" applyBorder="1" applyAlignment="1">
      <alignment horizontal="left" wrapText="1"/>
    </xf>
    <xf numFmtId="0" fontId="5" fillId="0" borderId="9" xfId="1" applyFont="1" applyBorder="1" applyAlignment="1">
      <alignment horizontal="left" wrapText="1"/>
    </xf>
    <xf numFmtId="4" fontId="8" fillId="0" borderId="2" xfId="2" applyNumberFormat="1" applyFont="1" applyBorder="1" applyAlignment="1">
      <alignment horizontal="left" wrapText="1"/>
    </xf>
    <xf numFmtId="4" fontId="8" fillId="0" borderId="13" xfId="2" applyNumberFormat="1" applyFont="1" applyBorder="1" applyAlignment="1">
      <alignment horizontal="left" wrapText="1"/>
    </xf>
    <xf numFmtId="0" fontId="5" fillId="0" borderId="18" xfId="1" applyFont="1" applyBorder="1" applyAlignment="1">
      <alignment horizontal="left" wrapText="1"/>
    </xf>
    <xf numFmtId="0" fontId="6" fillId="0" borderId="4" xfId="1" applyFont="1" applyBorder="1" applyAlignment="1">
      <alignment horizontal="left" wrapText="1"/>
    </xf>
    <xf numFmtId="0" fontId="5" fillId="0" borderId="21" xfId="1" applyFont="1" applyBorder="1" applyAlignment="1">
      <alignment horizontal="left" wrapText="1"/>
    </xf>
    <xf numFmtId="0" fontId="0" fillId="0" borderId="0" xfId="0" applyAlignment="1">
      <alignment wrapText="1"/>
    </xf>
    <xf numFmtId="4" fontId="23" fillId="0" borderId="2" xfId="4" applyNumberFormat="1" applyFill="1" applyBorder="1" applyAlignment="1">
      <alignment horizontal="right"/>
    </xf>
    <xf numFmtId="4" fontId="24" fillId="0" borderId="2" xfId="0" applyNumberFormat="1" applyFont="1" applyFill="1" applyBorder="1" applyAlignment="1">
      <alignment horizontal="center"/>
    </xf>
    <xf numFmtId="0" fontId="23" fillId="0" borderId="30" xfId="4" applyFont="1" applyFill="1" applyBorder="1" applyAlignment="1">
      <alignment horizontal="center"/>
    </xf>
    <xf numFmtId="4" fontId="24" fillId="0" borderId="30" xfId="0" applyNumberFormat="1" applyFont="1" applyFill="1" applyBorder="1" applyAlignment="1">
      <alignment horizontal="center"/>
    </xf>
    <xf numFmtId="0" fontId="2" fillId="0" borderId="0" xfId="3" applyFont="1" applyFill="1" applyBorder="1" applyAlignment="1"/>
    <xf numFmtId="0" fontId="2" fillId="0" borderId="0" xfId="3" applyFont="1" applyFill="1" applyAlignment="1"/>
    <xf numFmtId="4" fontId="31" fillId="0" borderId="2" xfId="0" applyNumberFormat="1" applyFont="1" applyFill="1" applyBorder="1" applyAlignment="1">
      <alignment horizontal="center"/>
    </xf>
    <xf numFmtId="4" fontId="31" fillId="0" borderId="2" xfId="0" applyNumberFormat="1" applyFont="1" applyFill="1" applyBorder="1" applyAlignment="1">
      <alignment horizontal="right"/>
    </xf>
    <xf numFmtId="4" fontId="31" fillId="0" borderId="30" xfId="0" applyNumberFormat="1" applyFont="1" applyFill="1" applyBorder="1" applyAlignment="1">
      <alignment horizontal="center"/>
    </xf>
    <xf numFmtId="168" fontId="24" fillId="0" borderId="2" xfId="4" applyNumberFormat="1" applyFont="1" applyFill="1" applyBorder="1" applyAlignment="1">
      <alignment horizontal="center"/>
    </xf>
    <xf numFmtId="0" fontId="24" fillId="0" borderId="2" xfId="4" applyFont="1" applyFill="1" applyBorder="1" applyAlignment="1">
      <alignment horizontal="center"/>
    </xf>
    <xf numFmtId="165" fontId="24" fillId="0" borderId="2" xfId="4" applyNumberFormat="1" applyFont="1" applyFill="1" applyBorder="1" applyAlignment="1">
      <alignment horizontal="center"/>
    </xf>
    <xf numFmtId="166" fontId="24" fillId="0" borderId="2" xfId="4" applyNumberFormat="1" applyFont="1" applyFill="1" applyBorder="1" applyAlignment="1">
      <alignment horizontal="center"/>
    </xf>
    <xf numFmtId="0" fontId="24" fillId="0" borderId="2" xfId="0" applyFont="1" applyFill="1" applyBorder="1" applyAlignment="1">
      <alignment horizontal="center"/>
    </xf>
    <xf numFmtId="1" fontId="24" fillId="0" borderId="27" xfId="0" applyNumberFormat="1" applyFont="1" applyFill="1" applyBorder="1" applyAlignment="1">
      <alignment horizontal="center"/>
    </xf>
    <xf numFmtId="1" fontId="24" fillId="0" borderId="2" xfId="0" applyNumberFormat="1" applyFont="1" applyFill="1" applyBorder="1" applyAlignment="1">
      <alignment horizontal="center"/>
    </xf>
    <xf numFmtId="4" fontId="24" fillId="0" borderId="2" xfId="4" applyNumberFormat="1" applyFont="1" applyFill="1" applyBorder="1" applyAlignment="1">
      <alignment horizontal="center"/>
    </xf>
    <xf numFmtId="4" fontId="24" fillId="0" borderId="2" xfId="4" applyNumberFormat="1" applyFont="1" applyFill="1" applyBorder="1" applyAlignment="1">
      <alignment horizontal="right"/>
    </xf>
    <xf numFmtId="168" fontId="24" fillId="0" borderId="30" xfId="4" applyNumberFormat="1" applyFont="1" applyFill="1" applyBorder="1" applyAlignment="1">
      <alignment horizontal="center"/>
    </xf>
    <xf numFmtId="0" fontId="24" fillId="0" borderId="30" xfId="4" applyFont="1" applyFill="1" applyBorder="1" applyAlignment="1">
      <alignment horizontal="center"/>
    </xf>
    <xf numFmtId="165" fontId="24" fillId="0" borderId="30" xfId="4" applyNumberFormat="1" applyFont="1" applyFill="1" applyBorder="1" applyAlignment="1">
      <alignment horizontal="center"/>
    </xf>
    <xf numFmtId="166" fontId="24" fillId="0" borderId="30" xfId="4" applyNumberFormat="1" applyFont="1" applyFill="1" applyBorder="1" applyAlignment="1">
      <alignment horizontal="center"/>
    </xf>
    <xf numFmtId="1" fontId="24" fillId="0" borderId="30" xfId="0" applyNumberFormat="1" applyFont="1" applyFill="1" applyBorder="1" applyAlignment="1">
      <alignment horizontal="center"/>
    </xf>
    <xf numFmtId="4" fontId="24" fillId="0" borderId="30" xfId="4" applyNumberFormat="1" applyFont="1" applyFill="1" applyBorder="1" applyAlignment="1">
      <alignment horizontal="center"/>
    </xf>
    <xf numFmtId="4" fontId="24" fillId="0" borderId="30" xfId="4" applyNumberFormat="1" applyFont="1" applyFill="1" applyBorder="1" applyAlignment="1">
      <alignment horizontal="right"/>
    </xf>
    <xf numFmtId="0" fontId="24" fillId="0" borderId="30" xfId="0" applyFont="1" applyFill="1" applyBorder="1" applyAlignment="1">
      <alignment horizontal="center"/>
    </xf>
    <xf numFmtId="0" fontId="24" fillId="0" borderId="33" xfId="0" applyFont="1" applyFill="1" applyBorder="1" applyAlignment="1">
      <alignment horizontal="center"/>
    </xf>
    <xf numFmtId="14" fontId="20" fillId="0" borderId="30" xfId="3" applyNumberFormat="1" applyFont="1" applyFill="1" applyBorder="1" applyAlignment="1"/>
    <xf numFmtId="168" fontId="23" fillId="0" borderId="16" xfId="4" applyNumberFormat="1" applyFont="1" applyFill="1" applyBorder="1" applyAlignment="1">
      <alignment horizontal="center"/>
    </xf>
    <xf numFmtId="0" fontId="20" fillId="0" borderId="30" xfId="3" applyFont="1" applyFill="1" applyBorder="1" applyAlignment="1">
      <alignment horizontal="left"/>
    </xf>
    <xf numFmtId="0" fontId="20" fillId="0" borderId="30" xfId="3" applyNumberFormat="1" applyFont="1" applyFill="1" applyBorder="1" applyAlignment="1">
      <alignment horizontal="center"/>
    </xf>
    <xf numFmtId="0" fontId="20" fillId="0" borderId="30" xfId="3" applyFont="1" applyFill="1" applyBorder="1" applyAlignment="1"/>
    <xf numFmtId="0" fontId="23" fillId="0" borderId="27" xfId="0" applyFont="1" applyFill="1" applyBorder="1" applyAlignment="1">
      <alignment horizontal="center"/>
    </xf>
    <xf numFmtId="0" fontId="21" fillId="0" borderId="30" xfId="3" applyFont="1" applyFill="1" applyBorder="1" applyAlignment="1">
      <alignment horizontal="left"/>
    </xf>
    <xf numFmtId="4" fontId="20" fillId="0" borderId="30" xfId="3" applyNumberFormat="1" applyFont="1" applyFill="1" applyBorder="1" applyAlignment="1">
      <alignment horizontal="right"/>
    </xf>
    <xf numFmtId="0" fontId="24" fillId="7" borderId="0" xfId="3" applyFont="1" applyFill="1" applyBorder="1" applyAlignment="1"/>
    <xf numFmtId="0" fontId="24" fillId="7" borderId="0" xfId="3" applyFont="1" applyFill="1" applyAlignment="1"/>
    <xf numFmtId="168" fontId="23" fillId="0" borderId="2" xfId="4" applyNumberFormat="1" applyFont="1" applyFill="1" applyBorder="1" applyAlignment="1">
      <alignment horizontal="center" vertical="center"/>
    </xf>
    <xf numFmtId="0" fontId="23" fillId="0" borderId="2" xfId="4" applyFont="1" applyFill="1" applyBorder="1" applyAlignment="1">
      <alignment horizontal="center" vertical="center"/>
    </xf>
    <xf numFmtId="165" fontId="23" fillId="0" borderId="2" xfId="4" applyNumberFormat="1" applyFont="1" applyFill="1" applyBorder="1" applyAlignment="1">
      <alignment horizontal="center" vertical="center"/>
    </xf>
    <xf numFmtId="166" fontId="23" fillId="0" borderId="2" xfId="4" applyNumberFormat="1" applyFont="1" applyFill="1" applyBorder="1" applyAlignment="1">
      <alignment horizontal="center" vertical="center"/>
    </xf>
    <xf numFmtId="0" fontId="23" fillId="0" borderId="2" xfId="0" applyFont="1" applyFill="1" applyBorder="1" applyAlignment="1">
      <alignment horizontal="center" vertical="center"/>
    </xf>
    <xf numFmtId="1" fontId="23" fillId="0" borderId="2" xfId="0" applyNumberFormat="1" applyFont="1" applyFill="1" applyBorder="1" applyAlignment="1">
      <alignment horizontal="center" vertical="center"/>
    </xf>
    <xf numFmtId="4" fontId="23" fillId="0" borderId="2" xfId="4" applyNumberFormat="1" applyFont="1" applyFill="1" applyBorder="1" applyAlignment="1">
      <alignment horizontal="center" vertical="center"/>
    </xf>
    <xf numFmtId="4" fontId="34" fillId="0" borderId="2" xfId="0" applyNumberFormat="1" applyFont="1" applyFill="1" applyBorder="1" applyAlignment="1">
      <alignment horizontal="center" vertical="center"/>
    </xf>
    <xf numFmtId="4" fontId="23" fillId="0" borderId="2" xfId="0" applyNumberFormat="1" applyFont="1" applyFill="1" applyBorder="1" applyAlignment="1">
      <alignment horizontal="center" vertical="center"/>
    </xf>
    <xf numFmtId="4" fontId="2" fillId="0" borderId="0" xfId="3" applyNumberFormat="1" applyFont="1" applyFill="1" applyAlignment="1"/>
    <xf numFmtId="0" fontId="0" fillId="0" borderId="2" xfId="0" applyFont="1" applyFill="1" applyBorder="1" applyAlignment="1">
      <alignment horizontal="center" vertical="center"/>
    </xf>
    <xf numFmtId="0" fontId="2" fillId="8" borderId="0" xfId="3" applyFont="1" applyFill="1" applyAlignment="1"/>
    <xf numFmtId="4" fontId="23" fillId="0" borderId="2" xfId="4" applyNumberFormat="1" applyFill="1" applyBorder="1" applyAlignment="1">
      <alignment horizontal="center" vertical="center"/>
    </xf>
    <xf numFmtId="4" fontId="0" fillId="0" borderId="2" xfId="0" applyNumberFormat="1" applyFill="1" applyBorder="1" applyAlignment="1">
      <alignment horizontal="center" vertical="center"/>
    </xf>
    <xf numFmtId="0" fontId="32" fillId="0" borderId="2" xfId="3" applyFont="1" applyFill="1" applyBorder="1" applyAlignment="1">
      <alignment horizontal="center" vertical="center"/>
    </xf>
    <xf numFmtId="0" fontId="32" fillId="0" borderId="2" xfId="3" applyNumberFormat="1" applyFont="1" applyFill="1" applyBorder="1" applyAlignment="1">
      <alignment horizontal="center" vertical="center"/>
    </xf>
    <xf numFmtId="0" fontId="33" fillId="0" borderId="2" xfId="3" applyFont="1" applyFill="1" applyBorder="1" applyAlignment="1">
      <alignment horizontal="center" vertical="center"/>
    </xf>
    <xf numFmtId="1" fontId="0" fillId="0" borderId="2" xfId="0" applyNumberFormat="1" applyFont="1" applyFill="1" applyBorder="1" applyAlignment="1">
      <alignment horizontal="center" vertical="center"/>
    </xf>
    <xf numFmtId="0" fontId="5" fillId="0" borderId="27" xfId="1" applyFont="1" applyFill="1" applyBorder="1" applyAlignment="1">
      <alignment horizontal="center" vertical="center"/>
    </xf>
    <xf numFmtId="168" fontId="23" fillId="9" borderId="2" xfId="4" applyNumberFormat="1" applyFont="1" applyFill="1" applyBorder="1" applyAlignment="1">
      <alignment horizontal="center" vertical="center"/>
    </xf>
    <xf numFmtId="0" fontId="23" fillId="9" borderId="2" xfId="4" applyFont="1" applyFill="1" applyBorder="1" applyAlignment="1">
      <alignment horizontal="center" vertical="center"/>
    </xf>
    <xf numFmtId="165" fontId="23" fillId="9" borderId="2" xfId="4" applyNumberFormat="1" applyFont="1" applyFill="1" applyBorder="1" applyAlignment="1">
      <alignment horizontal="center" vertical="center"/>
    </xf>
    <xf numFmtId="166" fontId="23" fillId="9" borderId="2" xfId="4" applyNumberFormat="1" applyFont="1" applyFill="1" applyBorder="1" applyAlignment="1">
      <alignment horizontal="center" vertical="center"/>
    </xf>
    <xf numFmtId="0" fontId="23" fillId="9" borderId="2" xfId="0" applyFont="1" applyFill="1" applyBorder="1" applyAlignment="1">
      <alignment horizontal="center" vertical="center"/>
    </xf>
    <xf numFmtId="1" fontId="23" fillId="9" borderId="2" xfId="0" applyNumberFormat="1" applyFont="1" applyFill="1" applyBorder="1" applyAlignment="1">
      <alignment horizontal="center" vertical="center"/>
    </xf>
    <xf numFmtId="4" fontId="24" fillId="9" borderId="2" xfId="0" applyNumberFormat="1" applyFont="1" applyFill="1" applyBorder="1" applyAlignment="1">
      <alignment horizontal="center" vertical="center"/>
    </xf>
    <xf numFmtId="4" fontId="23" fillId="9" borderId="2" xfId="4" applyNumberFormat="1" applyFont="1" applyFill="1" applyBorder="1" applyAlignment="1">
      <alignment horizontal="center" vertical="center"/>
    </xf>
    <xf numFmtId="4" fontId="23" fillId="9" borderId="2" xfId="4" applyNumberFormat="1" applyFill="1" applyBorder="1" applyAlignment="1">
      <alignment horizontal="center" vertical="center"/>
    </xf>
    <xf numFmtId="4" fontId="0" fillId="9" borderId="2" xfId="0" applyNumberFormat="1" applyFill="1" applyBorder="1" applyAlignment="1">
      <alignment horizontal="center" vertical="center"/>
    </xf>
    <xf numFmtId="4" fontId="34" fillId="9" borderId="2" xfId="0" applyNumberFormat="1" applyFont="1" applyFill="1" applyBorder="1" applyAlignment="1">
      <alignment horizontal="center" vertical="center"/>
    </xf>
    <xf numFmtId="0" fontId="1" fillId="9" borderId="0" xfId="3" applyFont="1" applyFill="1" applyAlignment="1"/>
    <xf numFmtId="0" fontId="2" fillId="9" borderId="0" xfId="3" applyFont="1" applyFill="1" applyAlignment="1"/>
    <xf numFmtId="0" fontId="26" fillId="0" borderId="6" xfId="3" applyFont="1" applyFill="1" applyBorder="1" applyAlignment="1">
      <alignment horizontal="center"/>
    </xf>
    <xf numFmtId="0" fontId="26" fillId="0" borderId="32" xfId="3" applyFont="1" applyFill="1" applyBorder="1" applyAlignment="1">
      <alignment horizontal="center"/>
    </xf>
    <xf numFmtId="0" fontId="26" fillId="0" borderId="24" xfId="3" applyFont="1" applyFill="1" applyBorder="1" applyAlignment="1">
      <alignment horizontal="center"/>
    </xf>
    <xf numFmtId="14" fontId="20" fillId="0" borderId="6" xfId="3" applyNumberFormat="1" applyFont="1" applyFill="1" applyBorder="1" applyAlignment="1">
      <alignment horizontal="center"/>
    </xf>
    <xf numFmtId="14" fontId="20" fillId="0" borderId="32" xfId="3" applyNumberFormat="1" applyFont="1" applyFill="1" applyBorder="1" applyAlignment="1">
      <alignment horizontal="center"/>
    </xf>
    <xf numFmtId="14" fontId="20" fillId="0" borderId="24" xfId="3" applyNumberFormat="1" applyFont="1" applyFill="1" applyBorder="1" applyAlignment="1">
      <alignment horizontal="center"/>
    </xf>
    <xf numFmtId="0" fontId="20" fillId="0" borderId="10" xfId="3" applyFont="1" applyFill="1" applyBorder="1" applyAlignment="1">
      <alignment horizontal="center"/>
    </xf>
    <xf numFmtId="0" fontId="20" fillId="0" borderId="32" xfId="3" applyFont="1" applyFill="1" applyBorder="1" applyAlignment="1">
      <alignment horizontal="center"/>
    </xf>
    <xf numFmtId="0" fontId="20" fillId="0" borderId="8" xfId="3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3" fillId="4" borderId="2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17" fontId="0" fillId="0" borderId="0" xfId="0" applyNumberFormat="1" applyBorder="1" applyAlignment="1"/>
    <xf numFmtId="0" fontId="36" fillId="0" borderId="0" xfId="0" applyFont="1" applyBorder="1" applyAlignment="1">
      <alignment horizontal="center" vertical="center"/>
    </xf>
    <xf numFmtId="0" fontId="36" fillId="0" borderId="2" xfId="0" applyFont="1" applyFill="1" applyBorder="1" applyAlignment="1">
      <alignment horizontal="center"/>
    </xf>
    <xf numFmtId="2" fontId="36" fillId="0" borderId="2" xfId="0" applyNumberFormat="1" applyFont="1" applyFill="1" applyBorder="1" applyAlignment="1">
      <alignment horizontal="center"/>
    </xf>
    <xf numFmtId="0" fontId="27" fillId="0" borderId="0" xfId="1" applyFont="1" applyBorder="1" applyAlignment="1">
      <alignment horizontal="center" vertical="center"/>
    </xf>
    <xf numFmtId="0" fontId="36" fillId="0" borderId="0" xfId="0" applyFont="1" applyFill="1" applyBorder="1" applyAlignment="1">
      <alignment horizontal="center" vertical="center"/>
    </xf>
    <xf numFmtId="0" fontId="5" fillId="0" borderId="35" xfId="1" applyFont="1" applyFill="1" applyBorder="1" applyAlignment="1">
      <alignment horizontal="center" vertical="center"/>
    </xf>
    <xf numFmtId="0" fontId="0" fillId="0" borderId="34" xfId="0" applyFill="1" applyBorder="1" applyAlignment="1">
      <alignment horizontal="center" vertical="center"/>
    </xf>
    <xf numFmtId="0" fontId="27" fillId="0" borderId="0" xfId="1" applyFont="1" applyFill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6" fillId="0" borderId="2" xfId="0" applyFont="1" applyBorder="1" applyAlignment="1">
      <alignment horizontal="center" wrapText="1"/>
    </xf>
    <xf numFmtId="1" fontId="36" fillId="0" borderId="2" xfId="0" applyNumberFormat="1" applyFont="1" applyBorder="1" applyAlignment="1">
      <alignment horizontal="center"/>
    </xf>
    <xf numFmtId="165" fontId="27" fillId="0" borderId="2" xfId="4" applyNumberFormat="1" applyFont="1" applyFill="1" applyBorder="1" applyAlignment="1">
      <alignment horizontal="center"/>
    </xf>
    <xf numFmtId="166" fontId="27" fillId="0" borderId="2" xfId="4" applyNumberFormat="1" applyFont="1" applyFill="1" applyBorder="1" applyAlignment="1">
      <alignment horizontal="center"/>
    </xf>
    <xf numFmtId="0" fontId="27" fillId="0" borderId="2" xfId="2" applyFont="1" applyBorder="1" applyAlignment="1">
      <alignment horizontal="center"/>
    </xf>
    <xf numFmtId="165" fontId="27" fillId="0" borderId="2" xfId="2" applyNumberFormat="1" applyFont="1" applyBorder="1" applyAlignment="1">
      <alignment horizontal="center"/>
    </xf>
    <xf numFmtId="166" fontId="27" fillId="0" borderId="2" xfId="2" applyNumberFormat="1" applyFont="1" applyBorder="1" applyAlignment="1">
      <alignment horizontal="center"/>
    </xf>
    <xf numFmtId="4" fontId="27" fillId="0" borderId="2" xfId="2" applyNumberFormat="1" applyFont="1" applyBorder="1" applyAlignment="1">
      <alignment horizontal="center"/>
    </xf>
    <xf numFmtId="4" fontId="27" fillId="0" borderId="2" xfId="2" applyNumberFormat="1" applyFont="1" applyBorder="1" applyAlignment="1">
      <alignment horizontal="center" wrapText="1"/>
    </xf>
    <xf numFmtId="0" fontId="35" fillId="0" borderId="2" xfId="1" applyFont="1" applyBorder="1" applyAlignment="1">
      <alignment horizontal="center"/>
    </xf>
    <xf numFmtId="0" fontId="35" fillId="0" borderId="2" xfId="0" applyFont="1" applyBorder="1" applyAlignment="1">
      <alignment horizontal="center"/>
    </xf>
    <xf numFmtId="0" fontId="35" fillId="0" borderId="2" xfId="1" applyFont="1" applyBorder="1" applyAlignment="1">
      <alignment horizontal="center" wrapText="1"/>
    </xf>
    <xf numFmtId="0" fontId="36" fillId="0" borderId="2" xfId="0" applyFont="1" applyBorder="1" applyAlignment="1">
      <alignment horizontal="center"/>
    </xf>
    <xf numFmtId="164" fontId="27" fillId="0" borderId="2" xfId="2" applyNumberFormat="1" applyFont="1" applyBorder="1" applyAlignment="1">
      <alignment horizontal="center"/>
    </xf>
    <xf numFmtId="164" fontId="35" fillId="0" borderId="2" xfId="1" applyNumberFormat="1" applyFont="1" applyBorder="1" applyAlignment="1">
      <alignment horizontal="center"/>
    </xf>
    <xf numFmtId="4" fontId="35" fillId="0" borderId="2" xfId="1" applyNumberFormat="1" applyFont="1" applyBorder="1" applyAlignment="1">
      <alignment horizontal="center"/>
    </xf>
  </cellXfs>
  <cellStyles count="9">
    <cellStyle name="Normal" xfId="0" builtinId="0"/>
    <cellStyle name="Normal 2" xfId="3"/>
    <cellStyle name="Normal 3" xfId="5"/>
    <cellStyle name="Normal 4" xfId="6"/>
    <cellStyle name="Normal 5" xfId="7"/>
    <cellStyle name="Normal 6" xfId="8"/>
    <cellStyle name="Normal_2016-07 Libros IVA CF" xfId="1"/>
    <cellStyle name="Normal_modelo" xfId="2"/>
    <cellStyle name="Normal_modelo 2" xf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2"/>
  <sheetViews>
    <sheetView zoomScale="145" zoomScaleNormal="145" workbookViewId="0">
      <selection activeCell="M8" sqref="M8"/>
    </sheetView>
  </sheetViews>
  <sheetFormatPr baseColWidth="10" defaultColWidth="11.5546875" defaultRowHeight="14.4" x14ac:dyDescent="0.3"/>
  <cols>
    <col min="1" max="1" width="11.5546875" style="89"/>
    <col min="2" max="2" width="15.88671875" style="89" bestFit="1" customWidth="1"/>
    <col min="3" max="3" width="15.88671875" style="89" customWidth="1"/>
    <col min="4" max="4" width="16.44140625" style="92" customWidth="1"/>
    <col min="5" max="5" width="35.109375" style="89" customWidth="1"/>
    <col min="6" max="6" width="21.109375" style="89" customWidth="1"/>
    <col min="7" max="7" width="14.6640625" style="89" customWidth="1"/>
    <col min="8" max="8" width="23" style="89" bestFit="1" customWidth="1"/>
    <col min="9" max="9" width="17" style="90" customWidth="1"/>
    <col min="10" max="10" width="16.109375" style="89" customWidth="1"/>
    <col min="11" max="11" width="11.5546875" style="90"/>
    <col min="12" max="16" width="11.5546875" style="89"/>
    <col min="17" max="17" width="11.5546875" style="91"/>
    <col min="18" max="18" width="15.33203125" style="91" customWidth="1"/>
    <col min="19" max="19" width="42.88671875" style="89" customWidth="1"/>
    <col min="20" max="20" width="32.6640625" style="89" customWidth="1"/>
    <col min="21" max="21" width="19.109375" style="89" bestFit="1" customWidth="1"/>
    <col min="22" max="22" width="13.33203125" style="89" bestFit="1" customWidth="1"/>
    <col min="23" max="16384" width="11.5546875" style="89"/>
  </cols>
  <sheetData>
    <row r="1" spans="1:25" ht="18.600000000000001" thickBot="1" x14ac:dyDescent="0.4">
      <c r="A1" s="255" t="s">
        <v>49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7"/>
      <c r="S1" s="145"/>
      <c r="T1" s="145"/>
      <c r="U1" s="145"/>
      <c r="V1" s="145"/>
      <c r="W1" s="145"/>
      <c r="X1" s="145"/>
      <c r="Y1" s="145"/>
    </row>
    <row r="2" spans="1:25" x14ac:dyDescent="0.3">
      <c r="D2" s="147"/>
      <c r="F2" s="146"/>
      <c r="H2" s="146"/>
      <c r="S2" s="145"/>
      <c r="T2" s="145"/>
      <c r="U2" s="145"/>
      <c r="V2" s="145"/>
      <c r="W2" s="145"/>
      <c r="X2" s="145"/>
      <c r="Y2" s="145"/>
    </row>
    <row r="3" spans="1:25" x14ac:dyDescent="0.3">
      <c r="A3" s="148" t="s">
        <v>50</v>
      </c>
      <c r="D3" s="154" t="s">
        <v>51</v>
      </c>
      <c r="F3" s="146"/>
      <c r="H3" s="146"/>
      <c r="Q3" s="153" t="s">
        <v>52</v>
      </c>
      <c r="R3" s="153"/>
      <c r="S3" s="145"/>
      <c r="T3" s="145"/>
      <c r="U3" s="145"/>
      <c r="V3" s="145"/>
      <c r="W3" s="145"/>
      <c r="X3" s="145"/>
      <c r="Y3" s="145"/>
    </row>
    <row r="4" spans="1:25" x14ac:dyDescent="0.3">
      <c r="A4" s="148" t="s">
        <v>53</v>
      </c>
      <c r="D4" s="147"/>
      <c r="F4" s="146"/>
      <c r="H4" s="146"/>
      <c r="S4" s="145"/>
      <c r="T4" s="145"/>
      <c r="U4" s="145"/>
      <c r="V4" s="145"/>
      <c r="W4" s="145"/>
      <c r="X4" s="145"/>
      <c r="Y4" s="145"/>
    </row>
    <row r="5" spans="1:25" x14ac:dyDescent="0.3">
      <c r="A5" s="148" t="s">
        <v>70</v>
      </c>
      <c r="B5" s="152"/>
      <c r="C5" s="152"/>
      <c r="D5" s="147"/>
      <c r="F5" s="146"/>
      <c r="K5" s="150"/>
      <c r="L5" s="149"/>
      <c r="S5" s="145"/>
      <c r="T5" s="145"/>
      <c r="U5" s="145"/>
      <c r="V5" s="145"/>
      <c r="W5" s="145"/>
      <c r="X5" s="145"/>
      <c r="Y5" s="145"/>
    </row>
    <row r="6" spans="1:25" x14ac:dyDescent="0.3">
      <c r="A6" s="148"/>
      <c r="B6" s="152"/>
      <c r="C6" s="152"/>
      <c r="D6" s="147"/>
      <c r="E6" s="151"/>
      <c r="F6" s="146"/>
      <c r="G6" s="151"/>
      <c r="H6" s="151"/>
      <c r="S6" s="145"/>
      <c r="T6" s="145"/>
      <c r="U6" s="145"/>
      <c r="V6" s="145"/>
      <c r="W6" s="145"/>
      <c r="X6" s="145"/>
    </row>
    <row r="7" spans="1:25" s="191" customFormat="1" x14ac:dyDescent="0.3">
      <c r="A7" s="237" t="s">
        <v>4</v>
      </c>
      <c r="B7" s="237" t="s">
        <v>5</v>
      </c>
      <c r="C7" s="237" t="s">
        <v>6</v>
      </c>
      <c r="D7" s="238" t="s">
        <v>54</v>
      </c>
      <c r="E7" s="237" t="s">
        <v>55</v>
      </c>
      <c r="F7" s="237" t="s">
        <v>56</v>
      </c>
      <c r="G7" s="237" t="s">
        <v>57</v>
      </c>
      <c r="H7" s="237" t="s">
        <v>58</v>
      </c>
      <c r="I7" s="239" t="s">
        <v>59</v>
      </c>
      <c r="J7" s="237" t="s">
        <v>60</v>
      </c>
      <c r="K7" s="237" t="s">
        <v>61</v>
      </c>
      <c r="L7" s="237" t="s">
        <v>62</v>
      </c>
      <c r="M7" s="237" t="s">
        <v>63</v>
      </c>
      <c r="N7" s="237" t="s">
        <v>64</v>
      </c>
      <c r="O7" s="237" t="s">
        <v>65</v>
      </c>
      <c r="P7" s="237" t="s">
        <v>66</v>
      </c>
      <c r="Q7" s="237" t="s">
        <v>67</v>
      </c>
      <c r="R7" s="237" t="s">
        <v>14</v>
      </c>
      <c r="S7" s="190"/>
      <c r="T7" s="190"/>
      <c r="U7" s="190"/>
      <c r="V7" s="190"/>
      <c r="W7" s="190"/>
      <c r="X7" s="190"/>
      <c r="Y7" s="190"/>
    </row>
    <row r="8" spans="1:25" s="191" customFormat="1" x14ac:dyDescent="0.3">
      <c r="A8" s="223"/>
      <c r="B8" s="224"/>
      <c r="C8" s="225"/>
      <c r="D8" s="226"/>
      <c r="E8" s="233"/>
      <c r="F8" s="228"/>
      <c r="G8" s="224"/>
      <c r="H8" s="228"/>
      <c r="I8" s="224"/>
      <c r="J8" s="224"/>
      <c r="K8" s="229"/>
      <c r="L8" s="229">
        <f t="shared" ref="L8:L39" si="0">J8*0.21</f>
        <v>0</v>
      </c>
      <c r="M8" s="235"/>
      <c r="N8" s="235"/>
      <c r="O8" s="236"/>
      <c r="P8" s="235"/>
      <c r="Q8" s="235"/>
      <c r="R8" s="230">
        <f t="shared" ref="R8:R39" si="1">SUM(J8:Q8)</f>
        <v>0</v>
      </c>
      <c r="S8" s="190"/>
      <c r="T8" s="190"/>
      <c r="U8" s="190"/>
      <c r="V8" s="190"/>
      <c r="W8" s="190"/>
      <c r="X8" s="190"/>
      <c r="Y8" s="190"/>
    </row>
    <row r="9" spans="1:25" s="191" customFormat="1" x14ac:dyDescent="0.3">
      <c r="A9" s="223"/>
      <c r="B9" s="224"/>
      <c r="C9" s="225"/>
      <c r="D9" s="226"/>
      <c r="E9" s="233"/>
      <c r="F9" s="228"/>
      <c r="G9" s="224"/>
      <c r="H9" s="228"/>
      <c r="I9" s="224"/>
      <c r="J9" s="224"/>
      <c r="K9" s="231"/>
      <c r="L9" s="229">
        <f t="shared" si="0"/>
        <v>0</v>
      </c>
      <c r="M9" s="235"/>
      <c r="N9" s="235"/>
      <c r="O9" s="236"/>
      <c r="P9" s="235"/>
      <c r="Q9" s="235"/>
      <c r="R9" s="230">
        <f t="shared" si="1"/>
        <v>0</v>
      </c>
      <c r="S9" s="190"/>
      <c r="T9" s="190"/>
      <c r="U9" s="190"/>
      <c r="V9" s="190"/>
      <c r="W9" s="190"/>
      <c r="X9" s="190"/>
      <c r="Y9" s="190"/>
    </row>
    <row r="10" spans="1:25" s="191" customFormat="1" x14ac:dyDescent="0.3">
      <c r="A10" s="223"/>
      <c r="B10" s="224"/>
      <c r="C10" s="225"/>
      <c r="D10" s="226"/>
      <c r="E10" s="233"/>
      <c r="F10" s="228"/>
      <c r="G10" s="224"/>
      <c r="H10" s="228"/>
      <c r="I10" s="224"/>
      <c r="J10" s="224"/>
      <c r="K10" s="229"/>
      <c r="L10" s="229">
        <f t="shared" si="0"/>
        <v>0</v>
      </c>
      <c r="M10" s="235"/>
      <c r="N10" s="235"/>
      <c r="O10" s="236"/>
      <c r="P10" s="235"/>
      <c r="Q10" s="235"/>
      <c r="R10" s="230">
        <f t="shared" si="1"/>
        <v>0</v>
      </c>
    </row>
    <row r="11" spans="1:25" s="191" customFormat="1" x14ac:dyDescent="0.3">
      <c r="A11" s="223"/>
      <c r="B11" s="224"/>
      <c r="C11" s="225"/>
      <c r="D11" s="226"/>
      <c r="E11" s="233"/>
      <c r="F11" s="228"/>
      <c r="G11" s="224"/>
      <c r="H11" s="228"/>
      <c r="I11" s="224"/>
      <c r="J11" s="224"/>
      <c r="K11" s="229"/>
      <c r="L11" s="229">
        <f t="shared" si="0"/>
        <v>0</v>
      </c>
      <c r="M11" s="235"/>
      <c r="N11" s="235"/>
      <c r="O11" s="236"/>
      <c r="P11" s="235"/>
      <c r="Q11" s="235"/>
      <c r="R11" s="230">
        <f t="shared" si="1"/>
        <v>0</v>
      </c>
      <c r="S11" s="190"/>
      <c r="T11" s="190"/>
      <c r="U11" s="190"/>
      <c r="V11" s="190"/>
      <c r="W11" s="190"/>
      <c r="X11" s="190"/>
      <c r="Y11" s="190"/>
    </row>
    <row r="12" spans="1:25" s="191" customFormat="1" x14ac:dyDescent="0.3">
      <c r="A12" s="223"/>
      <c r="B12" s="224"/>
      <c r="C12" s="225"/>
      <c r="D12" s="226"/>
      <c r="E12" s="233"/>
      <c r="F12" s="228"/>
      <c r="G12" s="224"/>
      <c r="H12" s="228"/>
      <c r="I12" s="224"/>
      <c r="J12" s="224"/>
      <c r="K12" s="229"/>
      <c r="L12" s="229">
        <f t="shared" si="0"/>
        <v>0</v>
      </c>
      <c r="M12" s="235"/>
      <c r="N12" s="235"/>
      <c r="O12" s="236"/>
      <c r="P12" s="235"/>
      <c r="Q12" s="235"/>
      <c r="R12" s="230">
        <f t="shared" si="1"/>
        <v>0</v>
      </c>
    </row>
    <row r="13" spans="1:25" s="191" customFormat="1" x14ac:dyDescent="0.3">
      <c r="A13" s="223"/>
      <c r="B13" s="224"/>
      <c r="C13" s="225"/>
      <c r="D13" s="226"/>
      <c r="E13" s="233"/>
      <c r="F13" s="228"/>
      <c r="G13" s="224"/>
      <c r="H13" s="228"/>
      <c r="I13" s="224"/>
      <c r="J13" s="224"/>
      <c r="K13" s="229"/>
      <c r="L13" s="229">
        <f t="shared" si="0"/>
        <v>0</v>
      </c>
      <c r="M13" s="235"/>
      <c r="N13" s="235"/>
      <c r="O13" s="236"/>
      <c r="P13" s="235"/>
      <c r="Q13" s="235"/>
      <c r="R13" s="230">
        <f t="shared" si="1"/>
        <v>0</v>
      </c>
    </row>
    <row r="14" spans="1:25" s="191" customFormat="1" x14ac:dyDescent="0.3">
      <c r="A14" s="223"/>
      <c r="B14" s="224"/>
      <c r="C14" s="225"/>
      <c r="D14" s="226"/>
      <c r="E14" s="233"/>
      <c r="F14" s="228"/>
      <c r="G14" s="224"/>
      <c r="H14" s="228"/>
      <c r="I14" s="224"/>
      <c r="J14" s="224"/>
      <c r="K14" s="229"/>
      <c r="L14" s="229">
        <f t="shared" si="0"/>
        <v>0</v>
      </c>
      <c r="M14" s="235"/>
      <c r="N14" s="235"/>
      <c r="O14" s="236"/>
      <c r="P14" s="235"/>
      <c r="Q14" s="235"/>
      <c r="R14" s="230">
        <f t="shared" si="1"/>
        <v>0</v>
      </c>
      <c r="S14" s="190"/>
      <c r="T14" s="190"/>
      <c r="U14" s="190"/>
      <c r="V14" s="190"/>
      <c r="W14" s="190"/>
      <c r="X14" s="190"/>
      <c r="Y14" s="190"/>
    </row>
    <row r="15" spans="1:25" s="191" customFormat="1" x14ac:dyDescent="0.3">
      <c r="A15" s="223"/>
      <c r="B15" s="224"/>
      <c r="C15" s="225"/>
      <c r="D15" s="226"/>
      <c r="E15" s="233"/>
      <c r="F15" s="228"/>
      <c r="G15" s="224"/>
      <c r="H15" s="228"/>
      <c r="I15" s="224"/>
      <c r="J15" s="224"/>
      <c r="K15" s="229"/>
      <c r="L15" s="229">
        <f t="shared" si="0"/>
        <v>0</v>
      </c>
      <c r="M15" s="235"/>
      <c r="N15" s="235"/>
      <c r="O15" s="236"/>
      <c r="P15" s="235"/>
      <c r="Q15" s="235"/>
      <c r="R15" s="230">
        <f t="shared" si="1"/>
        <v>0</v>
      </c>
      <c r="S15" s="174"/>
      <c r="T15" s="174"/>
      <c r="U15" s="174"/>
      <c r="V15" s="174"/>
      <c r="W15" s="174"/>
      <c r="X15" s="174"/>
      <c r="Y15" s="174"/>
    </row>
    <row r="16" spans="1:25" s="191" customFormat="1" x14ac:dyDescent="0.3">
      <c r="A16" s="223"/>
      <c r="B16" s="224"/>
      <c r="C16" s="225"/>
      <c r="D16" s="226"/>
      <c r="E16" s="233"/>
      <c r="F16" s="228"/>
      <c r="G16" s="224"/>
      <c r="H16" s="228"/>
      <c r="I16" s="224"/>
      <c r="J16" s="224"/>
      <c r="K16" s="229"/>
      <c r="L16" s="229">
        <f t="shared" si="0"/>
        <v>0</v>
      </c>
      <c r="M16" s="235"/>
      <c r="N16" s="235"/>
      <c r="O16" s="236"/>
      <c r="P16" s="235"/>
      <c r="Q16" s="235"/>
      <c r="R16" s="230">
        <f t="shared" si="1"/>
        <v>0</v>
      </c>
    </row>
    <row r="17" spans="1:25" s="191" customFormat="1" x14ac:dyDescent="0.3">
      <c r="A17" s="223"/>
      <c r="B17" s="224"/>
      <c r="C17" s="225"/>
      <c r="D17" s="226"/>
      <c r="E17" s="233"/>
      <c r="F17" s="228"/>
      <c r="G17" s="224"/>
      <c r="H17" s="228"/>
      <c r="I17" s="224"/>
      <c r="J17" s="224"/>
      <c r="K17" s="229"/>
      <c r="L17" s="229">
        <f t="shared" si="0"/>
        <v>0</v>
      </c>
      <c r="M17" s="236"/>
      <c r="N17" s="236"/>
      <c r="O17" s="236"/>
      <c r="P17" s="236"/>
      <c r="Q17" s="235"/>
      <c r="R17" s="230">
        <f t="shared" si="1"/>
        <v>0</v>
      </c>
      <c r="S17" s="190"/>
      <c r="T17" s="190"/>
      <c r="U17" s="190"/>
      <c r="V17" s="190"/>
      <c r="W17" s="190"/>
      <c r="X17" s="190"/>
      <c r="Y17" s="190"/>
    </row>
    <row r="18" spans="1:25" s="191" customFormat="1" x14ac:dyDescent="0.3">
      <c r="A18" s="223"/>
      <c r="B18" s="224"/>
      <c r="C18" s="225"/>
      <c r="D18" s="226"/>
      <c r="E18" s="227"/>
      <c r="F18" s="228"/>
      <c r="G18" s="224"/>
      <c r="H18" s="228"/>
      <c r="I18" s="224"/>
      <c r="J18" s="224"/>
      <c r="K18" s="229"/>
      <c r="L18" s="229">
        <f t="shared" si="0"/>
        <v>0</v>
      </c>
      <c r="M18" s="235"/>
      <c r="N18" s="235"/>
      <c r="O18" s="235"/>
      <c r="P18" s="235"/>
      <c r="Q18" s="235"/>
      <c r="R18" s="230">
        <f t="shared" si="1"/>
        <v>0</v>
      </c>
      <c r="S18" s="174"/>
      <c r="T18" s="174"/>
      <c r="U18" s="174"/>
      <c r="V18" s="174"/>
      <c r="W18" s="174"/>
      <c r="X18" s="174"/>
      <c r="Y18" s="174"/>
    </row>
    <row r="19" spans="1:25" s="234" customFormat="1" x14ac:dyDescent="0.3">
      <c r="A19" s="223"/>
      <c r="B19" s="224"/>
      <c r="C19" s="225"/>
      <c r="D19" s="226"/>
      <c r="E19" s="233"/>
      <c r="F19" s="228"/>
      <c r="G19" s="224"/>
      <c r="H19" s="228"/>
      <c r="I19" s="224"/>
      <c r="J19" s="224"/>
      <c r="K19" s="231"/>
      <c r="L19" s="229">
        <f t="shared" si="0"/>
        <v>0</v>
      </c>
      <c r="M19" s="235"/>
      <c r="N19" s="235"/>
      <c r="O19" s="236"/>
      <c r="P19" s="235"/>
      <c r="Q19" s="235"/>
      <c r="R19" s="230">
        <f t="shared" si="1"/>
        <v>0</v>
      </c>
      <c r="S19" s="190"/>
      <c r="T19" s="190"/>
      <c r="U19" s="190"/>
      <c r="V19" s="190"/>
      <c r="W19" s="190"/>
      <c r="X19" s="190"/>
      <c r="Y19" s="190"/>
    </row>
    <row r="20" spans="1:25" s="191" customFormat="1" x14ac:dyDescent="0.3">
      <c r="A20" s="223"/>
      <c r="B20" s="224"/>
      <c r="C20" s="225"/>
      <c r="D20" s="226"/>
      <c r="E20" s="233"/>
      <c r="F20" s="228"/>
      <c r="G20" s="224"/>
      <c r="H20" s="228"/>
      <c r="I20" s="224"/>
      <c r="J20" s="224"/>
      <c r="K20" s="231"/>
      <c r="L20" s="229">
        <f t="shared" si="0"/>
        <v>0</v>
      </c>
      <c r="M20" s="235"/>
      <c r="N20" s="235"/>
      <c r="O20" s="236"/>
      <c r="P20" s="235"/>
      <c r="Q20" s="235"/>
      <c r="R20" s="230">
        <f t="shared" si="1"/>
        <v>0</v>
      </c>
    </row>
    <row r="21" spans="1:25" s="191" customFormat="1" x14ac:dyDescent="0.3">
      <c r="A21" s="223"/>
      <c r="B21" s="224"/>
      <c r="C21" s="225"/>
      <c r="D21" s="226"/>
      <c r="E21" s="233"/>
      <c r="F21" s="228"/>
      <c r="G21" s="224"/>
      <c r="H21" s="228"/>
      <c r="I21" s="224"/>
      <c r="J21" s="224"/>
      <c r="K21" s="229"/>
      <c r="L21" s="229">
        <f t="shared" si="0"/>
        <v>0</v>
      </c>
      <c r="M21" s="235"/>
      <c r="N21" s="235"/>
      <c r="O21" s="236"/>
      <c r="P21" s="235"/>
      <c r="Q21" s="235"/>
      <c r="R21" s="230">
        <f t="shared" si="1"/>
        <v>0</v>
      </c>
      <c r="S21" s="234"/>
      <c r="T21" s="234"/>
      <c r="U21" s="234"/>
      <c r="V21" s="234"/>
      <c r="W21" s="234"/>
      <c r="X21" s="234"/>
      <c r="Y21" s="234"/>
    </row>
    <row r="22" spans="1:25" s="191" customFormat="1" x14ac:dyDescent="0.3">
      <c r="A22" s="223"/>
      <c r="B22" s="224"/>
      <c r="C22" s="225"/>
      <c r="D22" s="226"/>
      <c r="E22" s="233"/>
      <c r="F22" s="228"/>
      <c r="G22" s="224"/>
      <c r="H22" s="228"/>
      <c r="I22" s="224"/>
      <c r="J22" s="224"/>
      <c r="K22" s="229"/>
      <c r="L22" s="229">
        <f t="shared" si="0"/>
        <v>0</v>
      </c>
      <c r="M22" s="236"/>
      <c r="N22" s="236"/>
      <c r="O22" s="236"/>
      <c r="P22" s="236"/>
      <c r="Q22" s="235"/>
      <c r="R22" s="230">
        <f t="shared" si="1"/>
        <v>0</v>
      </c>
    </row>
    <row r="23" spans="1:25" s="191" customFormat="1" x14ac:dyDescent="0.3">
      <c r="A23" s="223"/>
      <c r="B23" s="224"/>
      <c r="C23" s="225"/>
      <c r="D23" s="226"/>
      <c r="E23" s="233"/>
      <c r="F23" s="228"/>
      <c r="G23" s="224"/>
      <c r="H23" s="228"/>
      <c r="I23" s="224"/>
      <c r="J23" s="224"/>
      <c r="K23" s="229"/>
      <c r="L23" s="229">
        <f t="shared" si="0"/>
        <v>0</v>
      </c>
      <c r="M23" s="235"/>
      <c r="N23" s="235"/>
      <c r="O23" s="236"/>
      <c r="P23" s="235"/>
      <c r="Q23" s="235"/>
      <c r="R23" s="230">
        <f t="shared" si="1"/>
        <v>0</v>
      </c>
    </row>
    <row r="24" spans="1:25" s="191" customFormat="1" x14ac:dyDescent="0.3">
      <c r="A24" s="223"/>
      <c r="B24" s="224"/>
      <c r="C24" s="225"/>
      <c r="D24" s="226"/>
      <c r="E24" s="233"/>
      <c r="F24" s="228"/>
      <c r="G24" s="224"/>
      <c r="H24" s="228"/>
      <c r="I24" s="224"/>
      <c r="J24" s="224"/>
      <c r="K24" s="229"/>
      <c r="L24" s="229">
        <f t="shared" si="0"/>
        <v>0</v>
      </c>
      <c r="M24" s="235"/>
      <c r="N24" s="235"/>
      <c r="O24" s="235"/>
      <c r="P24" s="235"/>
      <c r="Q24" s="236"/>
      <c r="R24" s="230">
        <f t="shared" si="1"/>
        <v>0</v>
      </c>
    </row>
    <row r="25" spans="1:25" s="191" customFormat="1" x14ac:dyDescent="0.3">
      <c r="A25" s="223"/>
      <c r="B25" s="224"/>
      <c r="C25" s="225"/>
      <c r="D25" s="226"/>
      <c r="E25" s="233"/>
      <c r="F25" s="228"/>
      <c r="G25" s="224"/>
      <c r="H25" s="228"/>
      <c r="I25" s="224"/>
      <c r="J25" s="224"/>
      <c r="K25" s="229"/>
      <c r="L25" s="229">
        <f t="shared" si="0"/>
        <v>0</v>
      </c>
      <c r="M25" s="236"/>
      <c r="N25" s="236"/>
      <c r="O25" s="236"/>
      <c r="P25" s="236"/>
      <c r="Q25" s="235"/>
      <c r="R25" s="230">
        <f t="shared" si="1"/>
        <v>0</v>
      </c>
    </row>
    <row r="26" spans="1:25" s="191" customFormat="1" x14ac:dyDescent="0.3">
      <c r="A26" s="223"/>
      <c r="B26" s="224"/>
      <c r="C26" s="225"/>
      <c r="D26" s="226"/>
      <c r="E26" s="233"/>
      <c r="F26" s="228"/>
      <c r="G26" s="224"/>
      <c r="H26" s="228"/>
      <c r="I26" s="224"/>
      <c r="J26" s="224"/>
      <c r="K26" s="229"/>
      <c r="L26" s="229">
        <f t="shared" si="0"/>
        <v>0</v>
      </c>
      <c r="M26" s="235"/>
      <c r="N26" s="235"/>
      <c r="O26" s="235"/>
      <c r="P26" s="235"/>
      <c r="Q26" s="235"/>
      <c r="R26" s="230">
        <f t="shared" si="1"/>
        <v>0</v>
      </c>
    </row>
    <row r="27" spans="1:25" s="191" customFormat="1" x14ac:dyDescent="0.3">
      <c r="A27" s="223"/>
      <c r="B27" s="224"/>
      <c r="C27" s="225"/>
      <c r="D27" s="226"/>
      <c r="E27" s="233"/>
      <c r="F27" s="228"/>
      <c r="G27" s="224"/>
      <c r="H27" s="228"/>
      <c r="I27" s="224"/>
      <c r="J27" s="224"/>
      <c r="K27" s="229"/>
      <c r="L27" s="229">
        <f t="shared" si="0"/>
        <v>0</v>
      </c>
      <c r="M27" s="235"/>
      <c r="N27" s="235"/>
      <c r="O27" s="236"/>
      <c r="P27" s="235"/>
      <c r="Q27" s="235"/>
      <c r="R27" s="230">
        <f t="shared" si="1"/>
        <v>0</v>
      </c>
    </row>
    <row r="28" spans="1:25" s="191" customFormat="1" x14ac:dyDescent="0.3">
      <c r="A28" s="223"/>
      <c r="B28" s="224"/>
      <c r="C28" s="225"/>
      <c r="D28" s="226"/>
      <c r="E28" s="227"/>
      <c r="F28" s="228"/>
      <c r="G28" s="224"/>
      <c r="H28" s="228"/>
      <c r="I28" s="224"/>
      <c r="J28" s="224"/>
      <c r="K28" s="229"/>
      <c r="L28" s="229">
        <f t="shared" si="0"/>
        <v>0</v>
      </c>
      <c r="M28" s="235"/>
      <c r="N28" s="235"/>
      <c r="O28" s="235"/>
      <c r="P28" s="235"/>
      <c r="Q28" s="235"/>
      <c r="R28" s="230">
        <f t="shared" si="1"/>
        <v>0</v>
      </c>
    </row>
    <row r="29" spans="1:25" s="191" customFormat="1" x14ac:dyDescent="0.3">
      <c r="A29" s="223"/>
      <c r="B29" s="224"/>
      <c r="C29" s="225"/>
      <c r="D29" s="226"/>
      <c r="E29" s="227"/>
      <c r="F29" s="228"/>
      <c r="G29" s="224"/>
      <c r="H29" s="228"/>
      <c r="I29" s="224"/>
      <c r="J29" s="224"/>
      <c r="K29" s="229"/>
      <c r="L29" s="229">
        <f t="shared" si="0"/>
        <v>0</v>
      </c>
      <c r="M29" s="235"/>
      <c r="N29" s="235"/>
      <c r="O29" s="235"/>
      <c r="P29" s="235"/>
      <c r="Q29" s="235"/>
      <c r="R29" s="230">
        <f t="shared" si="1"/>
        <v>0</v>
      </c>
    </row>
    <row r="30" spans="1:25" s="191" customFormat="1" x14ac:dyDescent="0.3">
      <c r="A30" s="223"/>
      <c r="B30" s="224"/>
      <c r="C30" s="225"/>
      <c r="D30" s="226"/>
      <c r="E30" s="227"/>
      <c r="F30" s="228"/>
      <c r="G30" s="224"/>
      <c r="H30" s="228"/>
      <c r="I30" s="224"/>
      <c r="J30" s="224"/>
      <c r="K30" s="229"/>
      <c r="L30" s="229">
        <f t="shared" si="0"/>
        <v>0</v>
      </c>
      <c r="M30" s="235"/>
      <c r="N30" s="235"/>
      <c r="O30" s="235"/>
      <c r="P30" s="235"/>
      <c r="Q30" s="235"/>
      <c r="R30" s="230">
        <f t="shared" si="1"/>
        <v>0</v>
      </c>
    </row>
    <row r="31" spans="1:25" s="191" customFormat="1" x14ac:dyDescent="0.3">
      <c r="A31" s="223"/>
      <c r="B31" s="224"/>
      <c r="C31" s="225"/>
      <c r="D31" s="226"/>
      <c r="E31" s="227"/>
      <c r="F31" s="228"/>
      <c r="G31" s="224"/>
      <c r="H31" s="228"/>
      <c r="I31" s="224"/>
      <c r="J31" s="224"/>
      <c r="K31" s="229"/>
      <c r="L31" s="229">
        <f t="shared" si="0"/>
        <v>0</v>
      </c>
      <c r="M31" s="235"/>
      <c r="N31" s="235"/>
      <c r="O31" s="235"/>
      <c r="P31" s="235"/>
      <c r="Q31" s="235"/>
      <c r="R31" s="230">
        <f t="shared" si="1"/>
        <v>0</v>
      </c>
    </row>
    <row r="32" spans="1:25" s="191" customFormat="1" x14ac:dyDescent="0.3">
      <c r="A32" s="223"/>
      <c r="B32" s="224"/>
      <c r="C32" s="225"/>
      <c r="D32" s="226"/>
      <c r="E32" s="227"/>
      <c r="F32" s="228"/>
      <c r="G32" s="224"/>
      <c r="H32" s="228"/>
      <c r="I32" s="224"/>
      <c r="J32" s="224"/>
      <c r="K32" s="229"/>
      <c r="L32" s="229">
        <f t="shared" si="0"/>
        <v>0</v>
      </c>
      <c r="M32" s="235"/>
      <c r="N32" s="235"/>
      <c r="O32" s="235"/>
      <c r="P32" s="235"/>
      <c r="Q32" s="235"/>
      <c r="R32" s="230">
        <f t="shared" si="1"/>
        <v>0</v>
      </c>
    </row>
    <row r="33" spans="1:25" s="191" customFormat="1" x14ac:dyDescent="0.3">
      <c r="A33" s="223"/>
      <c r="B33" s="224"/>
      <c r="C33" s="225"/>
      <c r="D33" s="226"/>
      <c r="E33" s="227"/>
      <c r="F33" s="228"/>
      <c r="G33" s="224"/>
      <c r="H33" s="228"/>
      <c r="I33" s="224"/>
      <c r="J33" s="224"/>
      <c r="K33" s="229"/>
      <c r="L33" s="229">
        <f t="shared" si="0"/>
        <v>0</v>
      </c>
      <c r="M33" s="235"/>
      <c r="N33" s="235"/>
      <c r="O33" s="235"/>
      <c r="P33" s="235"/>
      <c r="Q33" s="235"/>
      <c r="R33" s="230">
        <f t="shared" si="1"/>
        <v>0</v>
      </c>
    </row>
    <row r="34" spans="1:25" s="191" customFormat="1" x14ac:dyDescent="0.3">
      <c r="A34" s="223"/>
      <c r="B34" s="224"/>
      <c r="C34" s="225"/>
      <c r="D34" s="226"/>
      <c r="E34" s="227"/>
      <c r="F34" s="228"/>
      <c r="G34" s="224"/>
      <c r="H34" s="228"/>
      <c r="I34" s="224"/>
      <c r="J34" s="224"/>
      <c r="K34" s="229"/>
      <c r="L34" s="229">
        <f t="shared" si="0"/>
        <v>0</v>
      </c>
      <c r="M34" s="235"/>
      <c r="N34" s="235"/>
      <c r="O34" s="235"/>
      <c r="P34" s="235"/>
      <c r="Q34" s="235"/>
      <c r="R34" s="230">
        <f t="shared" si="1"/>
        <v>0</v>
      </c>
    </row>
    <row r="35" spans="1:25" s="191" customFormat="1" x14ac:dyDescent="0.3">
      <c r="A35" s="223"/>
      <c r="B35" s="224"/>
      <c r="C35" s="225"/>
      <c r="D35" s="226"/>
      <c r="E35" s="227"/>
      <c r="F35" s="228"/>
      <c r="G35" s="224"/>
      <c r="H35" s="228"/>
      <c r="I35" s="224"/>
      <c r="J35" s="224"/>
      <c r="K35" s="229"/>
      <c r="L35" s="229">
        <f t="shared" si="0"/>
        <v>0</v>
      </c>
      <c r="M35" s="235"/>
      <c r="N35" s="235"/>
      <c r="O35" s="235"/>
      <c r="P35" s="235"/>
      <c r="Q35" s="235"/>
      <c r="R35" s="230">
        <f t="shared" si="1"/>
        <v>0</v>
      </c>
    </row>
    <row r="36" spans="1:25" s="191" customFormat="1" x14ac:dyDescent="0.3">
      <c r="A36" s="223"/>
      <c r="B36" s="224"/>
      <c r="C36" s="225"/>
      <c r="D36" s="226"/>
      <c r="E36" s="227"/>
      <c r="F36" s="228"/>
      <c r="G36" s="224"/>
      <c r="H36" s="228"/>
      <c r="I36" s="224"/>
      <c r="J36" s="224"/>
      <c r="K36" s="229"/>
      <c r="L36" s="229">
        <f t="shared" si="0"/>
        <v>0</v>
      </c>
      <c r="M36" s="235"/>
      <c r="N36" s="235"/>
      <c r="O36" s="235"/>
      <c r="P36" s="235"/>
      <c r="Q36" s="235"/>
      <c r="R36" s="230">
        <f t="shared" si="1"/>
        <v>0</v>
      </c>
    </row>
    <row r="37" spans="1:25" s="191" customFormat="1" x14ac:dyDescent="0.3">
      <c r="A37" s="223"/>
      <c r="B37" s="224"/>
      <c r="C37" s="225"/>
      <c r="D37" s="226"/>
      <c r="E37" s="227"/>
      <c r="F37" s="228"/>
      <c r="G37" s="224"/>
      <c r="H37" s="228"/>
      <c r="I37" s="224"/>
      <c r="J37" s="224"/>
      <c r="K37" s="229"/>
      <c r="L37" s="229">
        <f t="shared" si="0"/>
        <v>0</v>
      </c>
      <c r="M37" s="235"/>
      <c r="N37" s="235"/>
      <c r="O37" s="235"/>
      <c r="P37" s="235"/>
      <c r="Q37" s="235"/>
      <c r="R37" s="230">
        <f t="shared" si="1"/>
        <v>0</v>
      </c>
    </row>
    <row r="38" spans="1:25" s="191" customFormat="1" x14ac:dyDescent="0.3">
      <c r="A38" s="223"/>
      <c r="B38" s="224"/>
      <c r="C38" s="225"/>
      <c r="D38" s="226"/>
      <c r="E38" s="227"/>
      <c r="F38" s="228"/>
      <c r="G38" s="224"/>
      <c r="H38" s="228"/>
      <c r="I38" s="224"/>
      <c r="J38" s="224"/>
      <c r="K38" s="229"/>
      <c r="L38" s="229">
        <f t="shared" si="0"/>
        <v>0</v>
      </c>
      <c r="M38" s="235"/>
      <c r="N38" s="235"/>
      <c r="O38" s="235"/>
      <c r="P38" s="235"/>
      <c r="Q38" s="235"/>
      <c r="R38" s="230">
        <f t="shared" si="1"/>
        <v>0</v>
      </c>
    </row>
    <row r="39" spans="1:25" s="191" customFormat="1" x14ac:dyDescent="0.3">
      <c r="A39" s="223"/>
      <c r="B39" s="224"/>
      <c r="C39" s="225"/>
      <c r="D39" s="226"/>
      <c r="E39" s="233"/>
      <c r="F39" s="228"/>
      <c r="G39" s="224"/>
      <c r="H39" s="228"/>
      <c r="I39" s="224"/>
      <c r="J39" s="224"/>
      <c r="K39" s="229"/>
      <c r="L39" s="229">
        <f t="shared" si="0"/>
        <v>0</v>
      </c>
      <c r="M39" s="235"/>
      <c r="N39" s="235"/>
      <c r="O39" s="236"/>
      <c r="P39" s="235"/>
      <c r="Q39" s="235"/>
      <c r="R39" s="231">
        <f t="shared" si="1"/>
        <v>0</v>
      </c>
      <c r="S39" s="175"/>
      <c r="T39" s="175"/>
      <c r="U39" s="175"/>
      <c r="V39" s="175"/>
      <c r="W39" s="175"/>
      <c r="X39" s="175"/>
      <c r="Y39" s="175"/>
    </row>
    <row r="40" spans="1:25" s="191" customFormat="1" x14ac:dyDescent="0.3">
      <c r="A40" s="223"/>
      <c r="B40" s="224"/>
      <c r="C40" s="225"/>
      <c r="D40" s="226"/>
      <c r="E40" s="233"/>
      <c r="F40" s="228"/>
      <c r="G40" s="224"/>
      <c r="H40" s="228"/>
      <c r="I40" s="224"/>
      <c r="J40" s="224"/>
      <c r="K40" s="229"/>
      <c r="L40" s="229">
        <f t="shared" ref="L40:L57" si="2">J40*0.21</f>
        <v>0</v>
      </c>
      <c r="M40" s="235"/>
      <c r="N40" s="235"/>
      <c r="O40" s="235"/>
      <c r="P40" s="235"/>
      <c r="Q40" s="235"/>
      <c r="R40" s="230">
        <f t="shared" ref="R40:R60" si="3">SUM(J40:Q40)</f>
        <v>0</v>
      </c>
    </row>
    <row r="41" spans="1:25" s="191" customFormat="1" x14ac:dyDescent="0.3">
      <c r="A41" s="223"/>
      <c r="B41" s="224"/>
      <c r="C41" s="225"/>
      <c r="D41" s="226"/>
      <c r="E41" s="227"/>
      <c r="F41" s="228"/>
      <c r="G41" s="224"/>
      <c r="H41" s="228"/>
      <c r="I41" s="224"/>
      <c r="J41" s="224"/>
      <c r="K41" s="229"/>
      <c r="L41" s="229">
        <f t="shared" si="2"/>
        <v>0</v>
      </c>
      <c r="M41" s="235"/>
      <c r="N41" s="235"/>
      <c r="O41" s="236"/>
      <c r="P41" s="235"/>
      <c r="Q41" s="235"/>
      <c r="R41" s="230">
        <f t="shared" si="3"/>
        <v>0</v>
      </c>
    </row>
    <row r="42" spans="1:25" s="191" customFormat="1" x14ac:dyDescent="0.3">
      <c r="A42" s="223"/>
      <c r="B42" s="224"/>
      <c r="C42" s="225"/>
      <c r="D42" s="226"/>
      <c r="E42" s="233"/>
      <c r="F42" s="228"/>
      <c r="G42" s="224"/>
      <c r="H42" s="228"/>
      <c r="I42" s="224"/>
      <c r="J42" s="224"/>
      <c r="K42" s="229"/>
      <c r="L42" s="229">
        <f t="shared" si="2"/>
        <v>0</v>
      </c>
      <c r="M42" s="235"/>
      <c r="N42" s="235"/>
      <c r="O42" s="236"/>
      <c r="P42" s="235"/>
      <c r="Q42" s="235"/>
      <c r="R42" s="230">
        <f t="shared" si="3"/>
        <v>0</v>
      </c>
    </row>
    <row r="43" spans="1:25" s="191" customFormat="1" x14ac:dyDescent="0.3">
      <c r="A43" s="223"/>
      <c r="B43" s="224"/>
      <c r="C43" s="225"/>
      <c r="D43" s="226"/>
      <c r="E43" s="233"/>
      <c r="F43" s="228"/>
      <c r="G43" s="224"/>
      <c r="H43" s="228"/>
      <c r="I43" s="224"/>
      <c r="J43" s="224"/>
      <c r="K43" s="229"/>
      <c r="L43" s="229">
        <f t="shared" si="2"/>
        <v>0</v>
      </c>
      <c r="M43" s="235"/>
      <c r="N43" s="235"/>
      <c r="O43" s="235"/>
      <c r="P43" s="235"/>
      <c r="Q43" s="235"/>
      <c r="R43" s="230">
        <f t="shared" si="3"/>
        <v>0</v>
      </c>
    </row>
    <row r="44" spans="1:25" s="191" customFormat="1" x14ac:dyDescent="0.3">
      <c r="A44" s="223"/>
      <c r="B44" s="224"/>
      <c r="C44" s="225"/>
      <c r="D44" s="226"/>
      <c r="E44" s="233"/>
      <c r="F44" s="228"/>
      <c r="G44" s="224"/>
      <c r="H44" s="228"/>
      <c r="I44" s="224"/>
      <c r="J44" s="224"/>
      <c r="K44" s="229"/>
      <c r="L44" s="229">
        <f t="shared" si="2"/>
        <v>0</v>
      </c>
      <c r="M44" s="235"/>
      <c r="N44" s="235"/>
      <c r="O44" s="236"/>
      <c r="P44" s="235"/>
      <c r="Q44" s="235"/>
      <c r="R44" s="230">
        <f t="shared" si="3"/>
        <v>0</v>
      </c>
    </row>
    <row r="45" spans="1:25" s="234" customFormat="1" x14ac:dyDescent="0.3">
      <c r="A45" s="223"/>
      <c r="B45" s="224"/>
      <c r="C45" s="225"/>
      <c r="D45" s="226"/>
      <c r="E45" s="233"/>
      <c r="F45" s="228"/>
      <c r="G45" s="224"/>
      <c r="H45" s="228"/>
      <c r="I45" s="224"/>
      <c r="J45" s="224"/>
      <c r="K45" s="229"/>
      <c r="L45" s="229">
        <f t="shared" si="2"/>
        <v>0</v>
      </c>
      <c r="M45" s="235"/>
      <c r="N45" s="235"/>
      <c r="O45" s="236"/>
      <c r="P45" s="235"/>
      <c r="Q45" s="235"/>
      <c r="R45" s="230">
        <f t="shared" si="3"/>
        <v>0</v>
      </c>
    </row>
    <row r="46" spans="1:25" s="191" customFormat="1" x14ac:dyDescent="0.3">
      <c r="A46" s="223"/>
      <c r="B46" s="224"/>
      <c r="C46" s="225"/>
      <c r="D46" s="226"/>
      <c r="E46" s="233"/>
      <c r="F46" s="228"/>
      <c r="G46" s="224"/>
      <c r="H46" s="228"/>
      <c r="I46" s="224"/>
      <c r="J46" s="224"/>
      <c r="K46" s="229"/>
      <c r="L46" s="229">
        <f t="shared" si="2"/>
        <v>0</v>
      </c>
      <c r="M46" s="235"/>
      <c r="N46" s="235"/>
      <c r="O46" s="236"/>
      <c r="P46" s="235"/>
      <c r="Q46" s="235"/>
      <c r="R46" s="230">
        <f t="shared" si="3"/>
        <v>0</v>
      </c>
    </row>
    <row r="47" spans="1:25" s="234" customFormat="1" x14ac:dyDescent="0.3">
      <c r="A47" s="223"/>
      <c r="B47" s="224"/>
      <c r="C47" s="225"/>
      <c r="D47" s="226"/>
      <c r="E47" s="233"/>
      <c r="F47" s="228"/>
      <c r="G47" s="224"/>
      <c r="H47" s="228"/>
      <c r="I47" s="224"/>
      <c r="J47" s="224"/>
      <c r="K47" s="229"/>
      <c r="L47" s="229">
        <f t="shared" si="2"/>
        <v>0</v>
      </c>
      <c r="M47" s="235"/>
      <c r="N47" s="235"/>
      <c r="O47" s="236"/>
      <c r="P47" s="235"/>
      <c r="Q47" s="235"/>
      <c r="R47" s="230">
        <f t="shared" si="3"/>
        <v>0</v>
      </c>
    </row>
    <row r="48" spans="1:25" s="191" customFormat="1" x14ac:dyDescent="0.3">
      <c r="A48" s="223"/>
      <c r="B48" s="224"/>
      <c r="C48" s="225"/>
      <c r="D48" s="226"/>
      <c r="E48" s="233"/>
      <c r="F48" s="228"/>
      <c r="G48" s="224"/>
      <c r="H48" s="228"/>
      <c r="I48" s="224"/>
      <c r="J48" s="224"/>
      <c r="K48" s="229"/>
      <c r="L48" s="229">
        <f t="shared" si="2"/>
        <v>0</v>
      </c>
      <c r="M48" s="235"/>
      <c r="N48" s="235"/>
      <c r="O48" s="236"/>
      <c r="P48" s="235"/>
      <c r="Q48" s="235"/>
      <c r="R48" s="230">
        <f t="shared" si="3"/>
        <v>0</v>
      </c>
    </row>
    <row r="49" spans="1:25" s="191" customFormat="1" x14ac:dyDescent="0.3">
      <c r="A49" s="223"/>
      <c r="B49" s="224"/>
      <c r="C49" s="225"/>
      <c r="D49" s="226"/>
      <c r="E49" s="233"/>
      <c r="F49" s="228"/>
      <c r="G49" s="224"/>
      <c r="H49" s="228"/>
      <c r="I49" s="224"/>
      <c r="J49" s="224"/>
      <c r="K49" s="229"/>
      <c r="L49" s="229">
        <f t="shared" si="2"/>
        <v>0</v>
      </c>
      <c r="M49" s="235"/>
      <c r="N49" s="235"/>
      <c r="O49" s="236"/>
      <c r="P49" s="235"/>
      <c r="Q49" s="235"/>
      <c r="R49" s="230">
        <f t="shared" si="3"/>
        <v>0</v>
      </c>
    </row>
    <row r="50" spans="1:25" s="191" customFormat="1" x14ac:dyDescent="0.3">
      <c r="A50" s="223"/>
      <c r="B50" s="224"/>
      <c r="C50" s="225"/>
      <c r="D50" s="226"/>
      <c r="E50" s="233"/>
      <c r="F50" s="228"/>
      <c r="G50" s="224"/>
      <c r="H50" s="228"/>
      <c r="I50" s="224"/>
      <c r="J50" s="224"/>
      <c r="K50" s="229"/>
      <c r="L50" s="229">
        <f t="shared" si="2"/>
        <v>0</v>
      </c>
      <c r="M50" s="235"/>
      <c r="N50" s="235"/>
      <c r="O50" s="236"/>
      <c r="P50" s="235"/>
      <c r="Q50" s="235"/>
      <c r="R50" s="231">
        <f t="shared" si="3"/>
        <v>0</v>
      </c>
      <c r="S50" s="175"/>
      <c r="T50" s="175"/>
      <c r="U50" s="175"/>
      <c r="V50" s="175"/>
      <c r="W50" s="175"/>
      <c r="X50" s="175"/>
      <c r="Y50" s="175"/>
    </row>
    <row r="51" spans="1:25" s="191" customFormat="1" x14ac:dyDescent="0.3">
      <c r="A51" s="223"/>
      <c r="B51" s="224"/>
      <c r="C51" s="225"/>
      <c r="D51" s="226"/>
      <c r="E51" s="233"/>
      <c r="F51" s="228"/>
      <c r="G51" s="224"/>
      <c r="H51" s="228"/>
      <c r="I51" s="224"/>
      <c r="J51" s="224"/>
      <c r="K51" s="229"/>
      <c r="L51" s="229">
        <f t="shared" si="2"/>
        <v>0</v>
      </c>
      <c r="M51" s="235"/>
      <c r="N51" s="235"/>
      <c r="O51" s="236"/>
      <c r="P51" s="235"/>
      <c r="Q51" s="235"/>
      <c r="R51" s="230">
        <f t="shared" si="3"/>
        <v>0</v>
      </c>
    </row>
    <row r="52" spans="1:25" s="191" customFormat="1" x14ac:dyDescent="0.3">
      <c r="A52" s="223"/>
      <c r="B52" s="224"/>
      <c r="C52" s="225"/>
      <c r="D52" s="226"/>
      <c r="E52" s="233"/>
      <c r="F52" s="228"/>
      <c r="G52" s="224"/>
      <c r="H52" s="228"/>
      <c r="I52" s="224"/>
      <c r="J52" s="224"/>
      <c r="K52" s="229"/>
      <c r="L52" s="229">
        <f t="shared" si="2"/>
        <v>0</v>
      </c>
      <c r="M52" s="236"/>
      <c r="N52" s="236"/>
      <c r="O52" s="236"/>
      <c r="P52" s="236"/>
      <c r="Q52" s="235"/>
      <c r="R52" s="230">
        <f t="shared" si="3"/>
        <v>0</v>
      </c>
    </row>
    <row r="53" spans="1:25" s="191" customFormat="1" x14ac:dyDescent="0.3">
      <c r="A53" s="223"/>
      <c r="B53" s="224"/>
      <c r="C53" s="225"/>
      <c r="D53" s="226"/>
      <c r="E53" s="233"/>
      <c r="F53" s="228"/>
      <c r="G53" s="224"/>
      <c r="H53" s="228"/>
      <c r="I53" s="224"/>
      <c r="J53" s="224"/>
      <c r="K53" s="229"/>
      <c r="L53" s="229">
        <f t="shared" si="2"/>
        <v>0</v>
      </c>
      <c r="M53" s="235"/>
      <c r="N53" s="235"/>
      <c r="O53" s="236"/>
      <c r="P53" s="235"/>
      <c r="Q53" s="235"/>
      <c r="R53" s="230">
        <f t="shared" si="3"/>
        <v>0</v>
      </c>
    </row>
    <row r="54" spans="1:25" s="191" customFormat="1" x14ac:dyDescent="0.3">
      <c r="A54" s="223"/>
      <c r="B54" s="224"/>
      <c r="C54" s="225"/>
      <c r="D54" s="226"/>
      <c r="E54" s="233"/>
      <c r="F54" s="228"/>
      <c r="G54" s="224"/>
      <c r="H54" s="228"/>
      <c r="I54" s="224"/>
      <c r="J54" s="224"/>
      <c r="K54" s="229"/>
      <c r="L54" s="229">
        <f t="shared" si="2"/>
        <v>0</v>
      </c>
      <c r="M54" s="235"/>
      <c r="N54" s="235"/>
      <c r="O54" s="236"/>
      <c r="P54" s="235"/>
      <c r="Q54" s="235"/>
      <c r="R54" s="230">
        <f t="shared" si="3"/>
        <v>0</v>
      </c>
    </row>
    <row r="55" spans="1:25" s="191" customFormat="1" x14ac:dyDescent="0.3">
      <c r="A55" s="223"/>
      <c r="B55" s="224"/>
      <c r="C55" s="225"/>
      <c r="D55" s="226"/>
      <c r="E55" s="233"/>
      <c r="F55" s="228"/>
      <c r="G55" s="224"/>
      <c r="H55" s="228"/>
      <c r="I55" s="224"/>
      <c r="J55" s="224"/>
      <c r="K55" s="229"/>
      <c r="L55" s="229">
        <f t="shared" si="2"/>
        <v>0</v>
      </c>
      <c r="M55" s="235"/>
      <c r="N55" s="235"/>
      <c r="O55" s="235"/>
      <c r="P55" s="235"/>
      <c r="Q55" s="235"/>
      <c r="R55" s="230">
        <f t="shared" si="3"/>
        <v>0</v>
      </c>
    </row>
    <row r="56" spans="1:25" s="175" customFormat="1" x14ac:dyDescent="0.3">
      <c r="A56" s="223"/>
      <c r="B56" s="224"/>
      <c r="C56" s="225"/>
      <c r="D56" s="226"/>
      <c r="E56" s="233"/>
      <c r="F56" s="228"/>
      <c r="G56" s="224"/>
      <c r="H56" s="228"/>
      <c r="I56" s="224"/>
      <c r="J56" s="224"/>
      <c r="K56" s="229"/>
      <c r="L56" s="229">
        <f t="shared" si="2"/>
        <v>0</v>
      </c>
      <c r="M56" s="235"/>
      <c r="N56" s="235"/>
      <c r="O56" s="236"/>
      <c r="P56" s="235"/>
      <c r="Q56" s="235"/>
      <c r="R56" s="230">
        <f t="shared" si="3"/>
        <v>0</v>
      </c>
      <c r="S56" s="191"/>
      <c r="T56" s="191"/>
      <c r="U56" s="191"/>
      <c r="V56" s="191"/>
      <c r="W56" s="191"/>
      <c r="X56" s="191"/>
      <c r="Y56" s="191"/>
    </row>
    <row r="57" spans="1:25" s="175" customFormat="1" x14ac:dyDescent="0.3">
      <c r="A57" s="223"/>
      <c r="B57" s="224"/>
      <c r="C57" s="225"/>
      <c r="D57" s="226"/>
      <c r="E57" s="233"/>
      <c r="F57" s="228"/>
      <c r="G57" s="224"/>
      <c r="H57" s="228"/>
      <c r="I57" s="224"/>
      <c r="J57" s="224"/>
      <c r="K57" s="229"/>
      <c r="L57" s="229">
        <f t="shared" si="2"/>
        <v>0</v>
      </c>
      <c r="M57" s="235"/>
      <c r="N57" s="235"/>
      <c r="O57" s="236"/>
      <c r="P57" s="235"/>
      <c r="Q57" s="235"/>
      <c r="R57" s="230">
        <f t="shared" si="3"/>
        <v>0</v>
      </c>
      <c r="S57" s="191"/>
      <c r="T57" s="191"/>
      <c r="U57" s="191"/>
      <c r="V57" s="191"/>
      <c r="W57" s="191"/>
      <c r="X57" s="191"/>
      <c r="Y57" s="191"/>
    </row>
    <row r="58" spans="1:25" s="175" customFormat="1" x14ac:dyDescent="0.3">
      <c r="A58" s="223"/>
      <c r="B58" s="224"/>
      <c r="C58" s="225"/>
      <c r="D58" s="226"/>
      <c r="E58" s="233"/>
      <c r="F58" s="228"/>
      <c r="G58" s="224"/>
      <c r="H58" s="228"/>
      <c r="I58" s="224"/>
      <c r="J58" s="224"/>
      <c r="K58" s="229">
        <f>J58*0.105</f>
        <v>0</v>
      </c>
      <c r="L58" s="229"/>
      <c r="M58" s="235"/>
      <c r="N58" s="235"/>
      <c r="O58" s="236"/>
      <c r="P58" s="235"/>
      <c r="Q58" s="235"/>
      <c r="R58" s="231">
        <f t="shared" si="3"/>
        <v>0</v>
      </c>
    </row>
    <row r="59" spans="1:25" s="175" customFormat="1" x14ac:dyDescent="0.3">
      <c r="A59" s="223"/>
      <c r="B59" s="224"/>
      <c r="C59" s="225"/>
      <c r="D59" s="226"/>
      <c r="E59" s="233"/>
      <c r="F59" s="228"/>
      <c r="G59" s="224"/>
      <c r="H59" s="228"/>
      <c r="I59" s="224"/>
      <c r="J59" s="224"/>
      <c r="K59" s="229"/>
      <c r="L59" s="229">
        <f>J59*0.21</f>
        <v>0</v>
      </c>
      <c r="M59" s="235"/>
      <c r="N59" s="235"/>
      <c r="O59" s="236"/>
      <c r="P59" s="235"/>
      <c r="Q59" s="235"/>
      <c r="R59" s="231">
        <f t="shared" si="3"/>
        <v>0</v>
      </c>
    </row>
    <row r="60" spans="1:25" s="175" customFormat="1" x14ac:dyDescent="0.3">
      <c r="A60" s="223"/>
      <c r="B60" s="224"/>
      <c r="C60" s="225"/>
      <c r="D60" s="226"/>
      <c r="E60" s="233"/>
      <c r="F60" s="228"/>
      <c r="G60" s="224"/>
      <c r="H60" s="228"/>
      <c r="I60" s="224"/>
      <c r="J60" s="224"/>
      <c r="K60" s="229"/>
      <c r="L60" s="229">
        <f>J60*0.21</f>
        <v>0</v>
      </c>
      <c r="M60" s="235"/>
      <c r="N60" s="235"/>
      <c r="O60" s="236"/>
      <c r="P60" s="235"/>
      <c r="Q60" s="235"/>
      <c r="R60" s="231">
        <f t="shared" si="3"/>
        <v>0</v>
      </c>
    </row>
    <row r="61" spans="1:25" s="191" customFormat="1" x14ac:dyDescent="0.3">
      <c r="A61" s="223"/>
      <c r="B61" s="224"/>
      <c r="C61" s="225"/>
      <c r="D61" s="226"/>
      <c r="E61" s="233"/>
      <c r="F61" s="228"/>
      <c r="G61" s="224"/>
      <c r="H61" s="228"/>
      <c r="I61" s="224"/>
      <c r="J61" s="224"/>
      <c r="K61" s="229"/>
      <c r="L61" s="229"/>
      <c r="M61" s="235"/>
      <c r="N61" s="235"/>
      <c r="O61" s="236"/>
      <c r="P61" s="235"/>
      <c r="Q61" s="235"/>
      <c r="R61" s="230"/>
      <c r="S61" s="232"/>
    </row>
    <row r="62" spans="1:25" s="191" customFormat="1" x14ac:dyDescent="0.3">
      <c r="A62" s="223"/>
      <c r="B62" s="224"/>
      <c r="C62" s="225"/>
      <c r="D62" s="226"/>
      <c r="E62" s="233"/>
      <c r="F62" s="228"/>
      <c r="G62" s="224"/>
      <c r="H62" s="228"/>
      <c r="I62" s="224"/>
      <c r="J62" s="224"/>
      <c r="K62" s="229"/>
      <c r="L62" s="229"/>
      <c r="M62" s="235"/>
      <c r="N62" s="235"/>
      <c r="O62" s="236"/>
      <c r="P62" s="235"/>
      <c r="Q62" s="235"/>
      <c r="R62" s="230"/>
      <c r="S62" s="232"/>
    </row>
    <row r="63" spans="1:25" s="191" customFormat="1" x14ac:dyDescent="0.3">
      <c r="A63" s="223"/>
      <c r="B63" s="224"/>
      <c r="C63" s="225"/>
      <c r="D63" s="226"/>
      <c r="E63" s="233"/>
      <c r="F63" s="228"/>
      <c r="G63" s="224"/>
      <c r="H63" s="228"/>
      <c r="I63" s="224"/>
      <c r="J63" s="224"/>
      <c r="K63" s="229"/>
      <c r="L63" s="229">
        <f>J63*0.21</f>
        <v>0</v>
      </c>
      <c r="M63" s="235"/>
      <c r="N63" s="235"/>
      <c r="O63" s="236"/>
      <c r="P63" s="235"/>
      <c r="Q63" s="235"/>
      <c r="R63" s="230">
        <f>SUM(J63:Q63)</f>
        <v>0</v>
      </c>
    </row>
    <row r="64" spans="1:25" s="191" customFormat="1" x14ac:dyDescent="0.3">
      <c r="A64" s="223"/>
      <c r="B64" s="224"/>
      <c r="C64" s="225"/>
      <c r="D64" s="226"/>
      <c r="E64" s="233"/>
      <c r="F64" s="228"/>
      <c r="G64" s="224"/>
      <c r="H64" s="228"/>
      <c r="I64" s="224"/>
      <c r="J64" s="224"/>
      <c r="K64" s="229"/>
      <c r="L64" s="229"/>
      <c r="M64" s="235"/>
      <c r="N64" s="235"/>
      <c r="O64" s="236"/>
      <c r="P64" s="235"/>
      <c r="Q64" s="235"/>
      <c r="R64" s="230">
        <f>SUM(J64:Q64)</f>
        <v>0</v>
      </c>
      <c r="S64" s="232"/>
    </row>
    <row r="65" spans="1:19" s="191" customFormat="1" x14ac:dyDescent="0.3">
      <c r="A65" s="223"/>
      <c r="B65" s="224"/>
      <c r="C65" s="225"/>
      <c r="D65" s="226"/>
      <c r="E65" s="233"/>
      <c r="F65" s="228"/>
      <c r="G65" s="224"/>
      <c r="H65" s="228"/>
      <c r="I65" s="224"/>
      <c r="J65" s="224"/>
      <c r="K65" s="229"/>
      <c r="L65" s="229"/>
      <c r="M65" s="235"/>
      <c r="N65" s="235"/>
      <c r="O65" s="236"/>
      <c r="P65" s="235"/>
      <c r="Q65" s="235"/>
      <c r="R65" s="230">
        <f>SUM(J65:Q65)</f>
        <v>0</v>
      </c>
      <c r="S65" s="232"/>
    </row>
    <row r="66" spans="1:19" s="191" customFormat="1" x14ac:dyDescent="0.3">
      <c r="A66" s="223"/>
      <c r="B66" s="224"/>
      <c r="C66" s="225"/>
      <c r="D66" s="226"/>
      <c r="E66" s="233"/>
      <c r="F66" s="228"/>
      <c r="G66" s="224"/>
      <c r="H66" s="228"/>
      <c r="I66" s="224"/>
      <c r="J66" s="224"/>
      <c r="K66" s="229"/>
      <c r="L66" s="229">
        <f>J66*0.21</f>
        <v>0</v>
      </c>
      <c r="M66" s="235"/>
      <c r="N66" s="235"/>
      <c r="O66" s="236"/>
      <c r="P66" s="235"/>
      <c r="Q66" s="235"/>
      <c r="R66" s="230">
        <f>SUM(J66:Q66)</f>
        <v>0</v>
      </c>
    </row>
    <row r="67" spans="1:19" s="191" customFormat="1" x14ac:dyDescent="0.3">
      <c r="A67" s="223"/>
      <c r="B67" s="224"/>
      <c r="C67" s="225"/>
      <c r="D67" s="226"/>
      <c r="E67" s="233"/>
      <c r="F67" s="228"/>
      <c r="G67" s="224"/>
      <c r="H67" s="228"/>
      <c r="I67" s="224"/>
      <c r="J67" s="224"/>
      <c r="K67" s="229"/>
      <c r="L67" s="229">
        <f>J67*0.21</f>
        <v>0</v>
      </c>
      <c r="M67" s="235"/>
      <c r="N67" s="235"/>
      <c r="O67" s="236"/>
      <c r="P67" s="235"/>
      <c r="Q67" s="235"/>
      <c r="R67" s="230">
        <f>SUM(J67:Q67)</f>
        <v>0</v>
      </c>
      <c r="S67" s="232"/>
    </row>
    <row r="68" spans="1:19" s="191" customFormat="1" x14ac:dyDescent="0.3">
      <c r="A68" s="223"/>
      <c r="B68" s="224"/>
      <c r="C68" s="225"/>
      <c r="D68" s="226"/>
      <c r="E68" s="233"/>
      <c r="F68" s="228"/>
      <c r="G68" s="224"/>
      <c r="H68" s="228"/>
      <c r="I68" s="224"/>
      <c r="J68" s="224"/>
      <c r="K68" s="229"/>
      <c r="L68" s="229"/>
      <c r="M68" s="235"/>
      <c r="N68" s="235"/>
      <c r="O68" s="236"/>
      <c r="P68" s="235"/>
      <c r="Q68" s="235"/>
      <c r="R68" s="230"/>
      <c r="S68" s="232"/>
    </row>
    <row r="69" spans="1:19" s="191" customFormat="1" x14ac:dyDescent="0.3">
      <c r="A69" s="223"/>
      <c r="B69" s="224"/>
      <c r="C69" s="225"/>
      <c r="D69" s="226"/>
      <c r="E69" s="233"/>
      <c r="F69" s="228"/>
      <c r="G69" s="224"/>
      <c r="H69" s="228"/>
      <c r="I69" s="224"/>
      <c r="J69" s="224"/>
      <c r="K69" s="229"/>
      <c r="L69" s="229"/>
      <c r="M69" s="235"/>
      <c r="N69" s="235"/>
      <c r="O69" s="236"/>
      <c r="P69" s="235"/>
      <c r="Q69" s="235"/>
      <c r="R69" s="230"/>
      <c r="S69" s="232"/>
    </row>
    <row r="70" spans="1:19" s="191" customFormat="1" x14ac:dyDescent="0.3">
      <c r="A70" s="223"/>
      <c r="B70" s="224"/>
      <c r="C70" s="225"/>
      <c r="D70" s="226"/>
      <c r="E70" s="233"/>
      <c r="F70" s="228"/>
      <c r="G70" s="224"/>
      <c r="H70" s="228"/>
      <c r="I70" s="224"/>
      <c r="J70" s="224"/>
      <c r="K70" s="229"/>
      <c r="L70" s="229"/>
      <c r="M70" s="235"/>
      <c r="N70" s="235"/>
      <c r="O70" s="236"/>
      <c r="P70" s="235"/>
      <c r="Q70" s="235"/>
      <c r="R70" s="230"/>
      <c r="S70" s="232"/>
    </row>
    <row r="71" spans="1:19" s="191" customFormat="1" x14ac:dyDescent="0.3">
      <c r="A71" s="223"/>
      <c r="B71" s="224"/>
      <c r="C71" s="225"/>
      <c r="D71" s="226"/>
      <c r="E71" s="233"/>
      <c r="F71" s="228"/>
      <c r="G71" s="224"/>
      <c r="H71" s="228"/>
      <c r="I71" s="224"/>
      <c r="J71" s="224"/>
      <c r="K71" s="229"/>
      <c r="L71" s="229"/>
      <c r="M71" s="235"/>
      <c r="N71" s="235"/>
      <c r="O71" s="236"/>
      <c r="P71" s="235"/>
      <c r="Q71" s="235"/>
      <c r="R71" s="230"/>
      <c r="S71" s="232"/>
    </row>
    <row r="72" spans="1:19" s="191" customFormat="1" x14ac:dyDescent="0.3">
      <c r="A72" s="223"/>
      <c r="B72" s="224"/>
      <c r="C72" s="225"/>
      <c r="D72" s="226"/>
      <c r="E72" s="233"/>
      <c r="F72" s="228"/>
      <c r="G72" s="224"/>
      <c r="H72" s="228"/>
      <c r="I72" s="224"/>
      <c r="J72" s="224"/>
      <c r="K72" s="229"/>
      <c r="L72" s="229"/>
      <c r="M72" s="235"/>
      <c r="N72" s="235"/>
      <c r="O72" s="236"/>
      <c r="P72" s="235"/>
      <c r="Q72" s="235"/>
      <c r="R72" s="230"/>
      <c r="S72" s="232"/>
    </row>
    <row r="73" spans="1:19" s="191" customFormat="1" x14ac:dyDescent="0.3">
      <c r="A73" s="223"/>
      <c r="B73" s="224"/>
      <c r="C73" s="225"/>
      <c r="D73" s="226"/>
      <c r="E73" s="233"/>
      <c r="F73" s="228"/>
      <c r="G73" s="224"/>
      <c r="H73" s="228"/>
      <c r="I73" s="224"/>
      <c r="J73" s="224"/>
      <c r="K73" s="229"/>
      <c r="L73" s="229"/>
      <c r="M73" s="235"/>
      <c r="N73" s="235"/>
      <c r="O73" s="236"/>
      <c r="P73" s="235"/>
      <c r="Q73" s="235"/>
      <c r="R73" s="230"/>
      <c r="S73" s="232"/>
    </row>
    <row r="74" spans="1:19" s="191" customFormat="1" x14ac:dyDescent="0.3">
      <c r="A74" s="223"/>
      <c r="B74" s="224"/>
      <c r="C74" s="225"/>
      <c r="D74" s="226"/>
      <c r="E74" s="233"/>
      <c r="F74" s="228"/>
      <c r="G74" s="224"/>
      <c r="H74" s="228"/>
      <c r="I74" s="224"/>
      <c r="J74" s="224"/>
      <c r="K74" s="229"/>
      <c r="L74" s="229">
        <f t="shared" ref="L74:L82" si="4">J74*0.21</f>
        <v>0</v>
      </c>
      <c r="M74" s="235"/>
      <c r="N74" s="235"/>
      <c r="O74" s="236"/>
      <c r="P74" s="235"/>
      <c r="Q74" s="235"/>
      <c r="R74" s="230">
        <f t="shared" ref="R74:R82" si="5">SUM(J74:Q74)</f>
        <v>0</v>
      </c>
      <c r="S74" s="232"/>
    </row>
    <row r="75" spans="1:19" s="191" customFormat="1" x14ac:dyDescent="0.3">
      <c r="A75" s="223"/>
      <c r="B75" s="224"/>
      <c r="C75" s="225"/>
      <c r="D75" s="226"/>
      <c r="E75" s="233"/>
      <c r="F75" s="227"/>
      <c r="G75" s="224"/>
      <c r="H75" s="228"/>
      <c r="I75" s="224"/>
      <c r="J75" s="224"/>
      <c r="K75" s="229"/>
      <c r="L75" s="229">
        <f t="shared" si="4"/>
        <v>0</v>
      </c>
      <c r="M75" s="235"/>
      <c r="N75" s="235"/>
      <c r="O75" s="236"/>
      <c r="P75" s="235"/>
      <c r="Q75" s="235"/>
      <c r="R75" s="230">
        <f t="shared" si="5"/>
        <v>0</v>
      </c>
    </row>
    <row r="76" spans="1:19" s="191" customFormat="1" x14ac:dyDescent="0.3">
      <c r="A76" s="223"/>
      <c r="B76" s="224"/>
      <c r="C76" s="225"/>
      <c r="D76" s="226"/>
      <c r="E76" s="233"/>
      <c r="F76" s="228"/>
      <c r="G76" s="224"/>
      <c r="H76" s="228"/>
      <c r="I76" s="224"/>
      <c r="J76" s="224"/>
      <c r="K76" s="229"/>
      <c r="L76" s="229">
        <f t="shared" si="4"/>
        <v>0</v>
      </c>
      <c r="M76" s="235"/>
      <c r="N76" s="235"/>
      <c r="O76" s="236"/>
      <c r="P76" s="235"/>
      <c r="Q76" s="235"/>
      <c r="R76" s="230">
        <f t="shared" si="5"/>
        <v>0</v>
      </c>
    </row>
    <row r="77" spans="1:19" s="191" customFormat="1" x14ac:dyDescent="0.3">
      <c r="A77" s="223"/>
      <c r="B77" s="224"/>
      <c r="C77" s="225"/>
      <c r="D77" s="226"/>
      <c r="E77" s="233"/>
      <c r="F77" s="228"/>
      <c r="G77" s="224"/>
      <c r="H77" s="228"/>
      <c r="I77" s="224"/>
      <c r="J77" s="224"/>
      <c r="K77" s="229"/>
      <c r="L77" s="229">
        <f t="shared" si="4"/>
        <v>0</v>
      </c>
      <c r="M77" s="235"/>
      <c r="N77" s="235"/>
      <c r="O77" s="236"/>
      <c r="P77" s="235"/>
      <c r="Q77" s="235"/>
      <c r="R77" s="230">
        <f t="shared" si="5"/>
        <v>0</v>
      </c>
    </row>
    <row r="78" spans="1:19" s="191" customFormat="1" x14ac:dyDescent="0.3">
      <c r="A78" s="223"/>
      <c r="B78" s="224"/>
      <c r="C78" s="225"/>
      <c r="D78" s="226"/>
      <c r="E78" s="233"/>
      <c r="F78" s="228"/>
      <c r="G78" s="224"/>
      <c r="H78" s="228"/>
      <c r="I78" s="224"/>
      <c r="J78" s="224"/>
      <c r="K78" s="229"/>
      <c r="L78" s="229">
        <f t="shared" si="4"/>
        <v>0</v>
      </c>
      <c r="M78" s="235"/>
      <c r="N78" s="235"/>
      <c r="O78" s="236"/>
      <c r="P78" s="235"/>
      <c r="Q78" s="235"/>
      <c r="R78" s="230">
        <f t="shared" si="5"/>
        <v>0</v>
      </c>
    </row>
    <row r="79" spans="1:19" s="191" customFormat="1" x14ac:dyDescent="0.3">
      <c r="A79" s="223"/>
      <c r="B79" s="224"/>
      <c r="C79" s="225"/>
      <c r="D79" s="226"/>
      <c r="E79" s="227"/>
      <c r="F79" s="228"/>
      <c r="G79" s="224"/>
      <c r="H79" s="228"/>
      <c r="I79" s="224"/>
      <c r="J79" s="224"/>
      <c r="K79" s="229"/>
      <c r="L79" s="229">
        <f t="shared" si="4"/>
        <v>0</v>
      </c>
      <c r="M79" s="235"/>
      <c r="N79" s="235"/>
      <c r="O79" s="236"/>
      <c r="P79" s="235"/>
      <c r="Q79" s="235"/>
      <c r="R79" s="230">
        <f t="shared" si="5"/>
        <v>0</v>
      </c>
    </row>
    <row r="80" spans="1:19" s="191" customFormat="1" x14ac:dyDescent="0.3">
      <c r="A80" s="223"/>
      <c r="B80" s="224"/>
      <c r="C80" s="225"/>
      <c r="D80" s="226"/>
      <c r="E80" s="233"/>
      <c r="F80" s="228"/>
      <c r="G80" s="224"/>
      <c r="H80" s="228"/>
      <c r="I80" s="224"/>
      <c r="J80" s="224"/>
      <c r="K80" s="229"/>
      <c r="L80" s="229">
        <f t="shared" si="4"/>
        <v>0</v>
      </c>
      <c r="M80" s="235"/>
      <c r="N80" s="235"/>
      <c r="O80" s="236"/>
      <c r="P80" s="235"/>
      <c r="Q80" s="235"/>
      <c r="R80" s="230">
        <f t="shared" si="5"/>
        <v>0</v>
      </c>
    </row>
    <row r="81" spans="1:25" s="191" customFormat="1" x14ac:dyDescent="0.3">
      <c r="A81" s="223"/>
      <c r="B81" s="224"/>
      <c r="C81" s="225"/>
      <c r="D81" s="226"/>
      <c r="E81" s="233"/>
      <c r="F81" s="240"/>
      <c r="G81" s="224"/>
      <c r="H81" s="228"/>
      <c r="I81" s="224"/>
      <c r="J81" s="224"/>
      <c r="K81" s="229"/>
      <c r="L81" s="229">
        <f t="shared" si="4"/>
        <v>0</v>
      </c>
      <c r="M81" s="235"/>
      <c r="N81" s="235"/>
      <c r="O81" s="236"/>
      <c r="P81" s="235"/>
      <c r="Q81" s="235"/>
      <c r="R81" s="230">
        <f t="shared" si="5"/>
        <v>0</v>
      </c>
    </row>
    <row r="82" spans="1:25" s="191" customFormat="1" x14ac:dyDescent="0.3">
      <c r="A82" s="223"/>
      <c r="B82" s="224"/>
      <c r="C82" s="225"/>
      <c r="D82" s="226"/>
      <c r="E82" s="233"/>
      <c r="F82" s="228"/>
      <c r="G82" s="224"/>
      <c r="H82" s="228"/>
      <c r="I82" s="224"/>
      <c r="J82" s="224"/>
      <c r="K82" s="229"/>
      <c r="L82" s="229">
        <f t="shared" si="4"/>
        <v>0</v>
      </c>
      <c r="M82" s="235"/>
      <c r="N82" s="235"/>
      <c r="O82" s="236"/>
      <c r="P82" s="235"/>
      <c r="Q82" s="235">
        <v>4038.5</v>
      </c>
      <c r="R82" s="230">
        <f t="shared" si="5"/>
        <v>4038.5</v>
      </c>
    </row>
    <row r="83" spans="1:25" s="254" customFormat="1" x14ac:dyDescent="0.3">
      <c r="A83" s="242">
        <v>46050</v>
      </c>
      <c r="B83" s="243" t="s">
        <v>74</v>
      </c>
      <c r="C83" s="244">
        <v>26</v>
      </c>
      <c r="D83" s="245">
        <v>1169980</v>
      </c>
      <c r="E83" s="246" t="s">
        <v>75</v>
      </c>
      <c r="F83" s="247" t="s">
        <v>76</v>
      </c>
      <c r="G83" s="243" t="s">
        <v>68</v>
      </c>
      <c r="H83" s="247"/>
      <c r="I83" s="243" t="s">
        <v>77</v>
      </c>
      <c r="J83" s="248">
        <v>110259.06</v>
      </c>
      <c r="K83" s="249"/>
      <c r="L83" s="249">
        <f t="shared" ref="L83:L84" si="6">J83*0.21</f>
        <v>23154.402599999998</v>
      </c>
      <c r="M83" s="250"/>
      <c r="N83" s="250"/>
      <c r="O83" s="251"/>
      <c r="P83" s="250"/>
      <c r="Q83" s="250"/>
      <c r="R83" s="252">
        <f t="shared" ref="R83" si="7">SUM(J83:Q83)</f>
        <v>133413.4626</v>
      </c>
      <c r="S83" s="253" t="s">
        <v>79</v>
      </c>
    </row>
    <row r="84" spans="1:25" s="191" customFormat="1" x14ac:dyDescent="0.3">
      <c r="A84" s="223"/>
      <c r="B84" s="224"/>
      <c r="C84" s="225"/>
      <c r="D84" s="226"/>
      <c r="E84" s="227"/>
      <c r="F84" s="227"/>
      <c r="G84" s="224"/>
      <c r="H84" s="228"/>
      <c r="I84" s="224"/>
      <c r="J84" s="231"/>
      <c r="K84" s="229"/>
      <c r="L84" s="229">
        <f t="shared" si="6"/>
        <v>0</v>
      </c>
      <c r="M84" s="229"/>
      <c r="N84" s="229"/>
      <c r="O84" s="230"/>
      <c r="P84" s="229"/>
      <c r="Q84" s="229"/>
      <c r="R84" s="230">
        <f t="shared" ref="R84:R85" si="8">SUM(J84:Q84)</f>
        <v>0</v>
      </c>
    </row>
    <row r="85" spans="1:25" s="222" customFormat="1" x14ac:dyDescent="0.3">
      <c r="A85" s="223"/>
      <c r="B85" s="224"/>
      <c r="C85" s="225"/>
      <c r="D85" s="226"/>
      <c r="E85" s="227"/>
      <c r="F85" s="228"/>
      <c r="G85" s="224"/>
      <c r="H85" s="228"/>
      <c r="I85" s="224"/>
      <c r="J85" s="231"/>
      <c r="K85" s="229"/>
      <c r="L85" s="229"/>
      <c r="M85" s="229"/>
      <c r="N85" s="229"/>
      <c r="O85" s="230"/>
      <c r="P85" s="229"/>
      <c r="Q85" s="229"/>
      <c r="R85" s="230">
        <f t="shared" si="8"/>
        <v>0</v>
      </c>
      <c r="T85" s="221"/>
      <c r="U85" s="221"/>
      <c r="V85" s="221"/>
      <c r="W85" s="221"/>
      <c r="X85" s="221"/>
      <c r="Y85" s="221"/>
    </row>
    <row r="86" spans="1:25" s="175" customFormat="1" x14ac:dyDescent="0.3">
      <c r="A86" s="213" t="s">
        <v>18</v>
      </c>
      <c r="B86" s="188"/>
      <c r="C86" s="215"/>
      <c r="D86" s="216"/>
      <c r="E86" s="217"/>
      <c r="F86" s="200"/>
      <c r="G86" s="167"/>
      <c r="H86" s="215"/>
      <c r="I86" s="219"/>
      <c r="J86" s="220">
        <f t="shared" ref="J86:R86" si="9">SUM(J1:J84)</f>
        <v>110259.06</v>
      </c>
      <c r="K86" s="138">
        <f t="shared" si="9"/>
        <v>0</v>
      </c>
      <c r="L86" s="138">
        <f t="shared" si="9"/>
        <v>23154.402599999998</v>
      </c>
      <c r="M86" s="220">
        <f t="shared" si="9"/>
        <v>0</v>
      </c>
      <c r="N86" s="220">
        <f t="shared" si="9"/>
        <v>0</v>
      </c>
      <c r="O86" s="220">
        <f t="shared" si="9"/>
        <v>0</v>
      </c>
      <c r="P86" s="220">
        <f t="shared" si="9"/>
        <v>0</v>
      </c>
      <c r="Q86" s="220">
        <f t="shared" si="9"/>
        <v>4038.5</v>
      </c>
      <c r="R86" s="138">
        <f t="shared" si="9"/>
        <v>137451.9626</v>
      </c>
      <c r="S86" s="89"/>
      <c r="T86" s="89"/>
      <c r="U86" s="89"/>
      <c r="V86" s="89"/>
      <c r="W86" s="89"/>
      <c r="X86" s="89"/>
      <c r="Y86" s="89"/>
    </row>
    <row r="87" spans="1:25" s="175" customFormat="1" x14ac:dyDescent="0.3">
      <c r="A87" s="204"/>
      <c r="B87" s="205"/>
      <c r="C87" s="206"/>
      <c r="D87" s="207"/>
      <c r="E87" s="211"/>
      <c r="F87" s="212"/>
      <c r="G87" s="196"/>
      <c r="H87" s="208"/>
      <c r="I87" s="205"/>
      <c r="J87" s="189"/>
      <c r="K87" s="202"/>
      <c r="L87" s="202"/>
      <c r="M87" s="209"/>
      <c r="N87" s="209"/>
      <c r="O87" s="194"/>
      <c r="P87" s="209"/>
      <c r="Q87" s="210"/>
      <c r="R87" s="193"/>
      <c r="S87" s="174"/>
      <c r="T87" s="174"/>
      <c r="U87" s="174"/>
      <c r="V87" s="174"/>
      <c r="W87" s="174"/>
      <c r="X87" s="174"/>
      <c r="Y87" s="174"/>
    </row>
    <row r="88" spans="1:25" s="175" customFormat="1" x14ac:dyDescent="0.3">
      <c r="A88" s="204"/>
      <c r="B88" s="205"/>
      <c r="C88" s="206"/>
      <c r="D88" s="207"/>
      <c r="E88" s="211"/>
      <c r="F88" s="212"/>
      <c r="G88" s="196"/>
      <c r="H88" s="208"/>
      <c r="I88" s="205"/>
      <c r="J88" s="189"/>
      <c r="K88" s="202"/>
      <c r="L88" s="202"/>
      <c r="M88" s="209"/>
      <c r="N88" s="209"/>
      <c r="O88" s="194"/>
      <c r="P88" s="209"/>
      <c r="Q88" s="210"/>
      <c r="R88" s="193"/>
      <c r="S88" s="174"/>
      <c r="T88" s="174"/>
      <c r="U88" s="174"/>
      <c r="V88" s="174"/>
      <c r="W88" s="174"/>
      <c r="X88" s="174"/>
      <c r="Y88" s="174"/>
    </row>
    <row r="89" spans="1:25" x14ac:dyDescent="0.3">
      <c r="A89" s="195"/>
      <c r="B89" s="196"/>
      <c r="C89" s="197"/>
      <c r="D89" s="198"/>
      <c r="E89" s="199"/>
      <c r="F89" s="199"/>
      <c r="G89" s="196"/>
      <c r="H89" s="201"/>
      <c r="I89" s="196"/>
      <c r="J89" s="187"/>
      <c r="K89" s="202"/>
      <c r="L89" s="202"/>
      <c r="M89" s="202"/>
      <c r="N89" s="202"/>
      <c r="O89" s="192"/>
      <c r="P89" s="202"/>
      <c r="Q89" s="203"/>
      <c r="R89" s="193"/>
      <c r="S89" s="174"/>
      <c r="T89" s="174"/>
      <c r="U89" s="174"/>
      <c r="V89" s="174"/>
      <c r="W89" s="174"/>
      <c r="X89" s="174"/>
      <c r="Y89" s="174"/>
    </row>
    <row r="90" spans="1:25" x14ac:dyDescent="0.3">
      <c r="A90" s="143"/>
      <c r="B90" s="167"/>
      <c r="C90" s="168"/>
      <c r="D90" s="169"/>
      <c r="E90" s="172"/>
      <c r="F90" s="172"/>
      <c r="G90" s="196"/>
      <c r="H90" s="158"/>
      <c r="I90" s="167"/>
      <c r="J90" s="170"/>
      <c r="K90" s="170"/>
      <c r="L90" s="170"/>
      <c r="M90" s="140"/>
      <c r="N90" s="140"/>
      <c r="O90" s="76"/>
      <c r="P90" s="140"/>
      <c r="Q90" s="186"/>
      <c r="R90" s="156">
        <f>SUM(J90:Q90)</f>
        <v>0</v>
      </c>
    </row>
    <row r="91" spans="1:25" x14ac:dyDescent="0.3">
      <c r="A91" s="143"/>
      <c r="B91" s="167"/>
      <c r="C91" s="168"/>
      <c r="D91" s="169"/>
      <c r="E91" s="172"/>
      <c r="F91" s="172"/>
      <c r="G91" s="196"/>
      <c r="H91" s="158"/>
      <c r="I91" s="167"/>
      <c r="J91" s="170"/>
      <c r="K91" s="170"/>
      <c r="L91" s="170"/>
      <c r="M91" s="140"/>
      <c r="N91" s="140"/>
      <c r="O91" s="76"/>
      <c r="P91" s="140"/>
      <c r="Q91" s="186"/>
      <c r="R91" s="156">
        <f>SUM(J91:Q91)</f>
        <v>0</v>
      </c>
    </row>
    <row r="92" spans="1:25" s="175" customFormat="1" x14ac:dyDescent="0.3">
      <c r="A92" s="143"/>
      <c r="B92" s="167"/>
      <c r="C92" s="168"/>
      <c r="D92" s="169"/>
      <c r="E92" s="172"/>
      <c r="F92" s="172"/>
      <c r="G92" s="196"/>
      <c r="H92" s="158"/>
      <c r="I92" s="167"/>
      <c r="J92" s="170"/>
      <c r="K92" s="170"/>
      <c r="L92" s="170"/>
      <c r="M92" s="140"/>
      <c r="N92" s="140"/>
      <c r="O92" s="76"/>
      <c r="P92" s="140"/>
      <c r="Q92" s="186"/>
      <c r="R92" s="156">
        <f>SUM(J92:Q92)</f>
        <v>0</v>
      </c>
      <c r="S92" s="89"/>
      <c r="T92" s="89"/>
      <c r="U92" s="89"/>
      <c r="V92" s="89"/>
      <c r="W92" s="89"/>
      <c r="X92" s="89"/>
      <c r="Y92" s="89"/>
    </row>
    <row r="93" spans="1:25" x14ac:dyDescent="0.3">
      <c r="A93" s="171"/>
      <c r="B93" s="167"/>
      <c r="C93" s="168"/>
      <c r="D93" s="169"/>
      <c r="E93" s="172"/>
      <c r="F93" s="218"/>
      <c r="G93" s="196"/>
      <c r="H93" s="158"/>
      <c r="I93" s="167"/>
      <c r="J93" s="170"/>
      <c r="K93" s="170"/>
      <c r="L93" s="170"/>
      <c r="M93" s="140"/>
      <c r="N93" s="140"/>
      <c r="O93" s="76"/>
      <c r="P93" s="140"/>
      <c r="Q93" s="155"/>
      <c r="R93" s="156">
        <f>SUM(J93:Q93)</f>
        <v>0</v>
      </c>
      <c r="S93" s="175"/>
      <c r="T93" s="174"/>
      <c r="U93" s="174"/>
      <c r="V93" s="174"/>
      <c r="W93" s="174"/>
      <c r="X93" s="174"/>
      <c r="Y93" s="174"/>
    </row>
    <row r="94" spans="1:25" x14ac:dyDescent="0.3">
      <c r="A94" s="214"/>
      <c r="B94" s="139"/>
      <c r="C94" s="168"/>
      <c r="D94" s="169"/>
      <c r="E94" s="142"/>
      <c r="F94" s="141"/>
      <c r="G94" s="139"/>
      <c r="H94" s="141"/>
      <c r="I94" s="167"/>
      <c r="J94" s="144"/>
      <c r="K94" s="170"/>
      <c r="L94" s="170"/>
      <c r="M94" s="140"/>
      <c r="N94" s="140"/>
      <c r="O94" s="110"/>
      <c r="P94" s="140"/>
      <c r="Q94" s="186"/>
      <c r="R94" s="156"/>
    </row>
    <row r="96" spans="1:25" ht="15" thickBot="1" x14ac:dyDescent="0.35">
      <c r="A96" s="137"/>
      <c r="B96" s="134"/>
      <c r="C96" s="134"/>
      <c r="D96" s="136"/>
      <c r="E96" s="135"/>
      <c r="F96" s="134"/>
      <c r="G96" s="135"/>
      <c r="H96" s="134"/>
      <c r="I96" s="133"/>
      <c r="J96" s="132"/>
      <c r="K96" s="132"/>
      <c r="L96" s="132"/>
      <c r="M96" s="132"/>
      <c r="N96" s="132"/>
      <c r="O96" s="132"/>
      <c r="P96" s="173"/>
      <c r="Q96" s="132"/>
      <c r="R96" s="132"/>
    </row>
    <row r="97" spans="1:18" ht="15" thickBot="1" x14ac:dyDescent="0.35">
      <c r="A97" s="258" t="s">
        <v>19</v>
      </c>
      <c r="B97" s="259"/>
      <c r="C97" s="259"/>
      <c r="D97" s="259"/>
      <c r="E97" s="259"/>
      <c r="F97" s="259"/>
      <c r="G97" s="259"/>
      <c r="H97" s="260"/>
      <c r="I97" s="131"/>
      <c r="J97" s="128"/>
      <c r="K97" s="130"/>
      <c r="L97" s="127"/>
      <c r="M97" s="129"/>
      <c r="N97" s="127"/>
      <c r="O97" s="127"/>
      <c r="P97" s="127"/>
      <c r="Q97" s="128"/>
      <c r="R97" s="127"/>
    </row>
    <row r="98" spans="1:18" x14ac:dyDescent="0.3">
      <c r="A98" s="126"/>
      <c r="B98" s="123"/>
      <c r="C98" s="123"/>
      <c r="D98" s="125"/>
      <c r="E98" s="124"/>
      <c r="F98" s="123"/>
      <c r="G98" s="124"/>
      <c r="H98" s="123"/>
      <c r="I98" s="122"/>
      <c r="J98" s="118"/>
      <c r="K98" s="121"/>
      <c r="L98" s="120">
        <f>+J98*0.21</f>
        <v>0</v>
      </c>
      <c r="M98" s="119"/>
      <c r="N98" s="119"/>
      <c r="O98" s="119"/>
      <c r="P98" s="119"/>
      <c r="Q98" s="118"/>
      <c r="R98" s="117">
        <f>SUM(J98:Q98)</f>
        <v>0</v>
      </c>
    </row>
    <row r="99" spans="1:18" x14ac:dyDescent="0.3">
      <c r="A99" s="116"/>
      <c r="B99" s="113"/>
      <c r="C99" s="113"/>
      <c r="D99" s="115"/>
      <c r="E99" s="114"/>
      <c r="F99" s="113"/>
      <c r="G99" s="114"/>
      <c r="H99" s="113"/>
      <c r="I99" s="112"/>
      <c r="J99" s="109"/>
      <c r="K99" s="111"/>
      <c r="L99" s="101"/>
      <c r="M99" s="110"/>
      <c r="N99" s="101"/>
      <c r="O99" s="101"/>
      <c r="P99" s="101"/>
      <c r="Q99" s="109"/>
      <c r="R99" s="108"/>
    </row>
    <row r="100" spans="1:18" x14ac:dyDescent="0.3">
      <c r="A100" s="116"/>
      <c r="B100" s="113"/>
      <c r="C100" s="113"/>
      <c r="D100" s="115"/>
      <c r="E100" s="114"/>
      <c r="F100" s="113"/>
      <c r="G100" s="114"/>
      <c r="H100" s="113"/>
      <c r="I100" s="112"/>
      <c r="J100" s="109"/>
      <c r="K100" s="111"/>
      <c r="L100" s="101"/>
      <c r="M100" s="110"/>
      <c r="N100" s="110"/>
      <c r="O100" s="110"/>
      <c r="P100" s="110"/>
      <c r="Q100" s="109"/>
      <c r="R100" s="108"/>
    </row>
    <row r="101" spans="1:18" ht="15" thickBot="1" x14ac:dyDescent="0.35">
      <c r="A101" s="107"/>
      <c r="B101" s="104"/>
      <c r="C101" s="104"/>
      <c r="D101" s="106"/>
      <c r="E101" s="105"/>
      <c r="F101" s="104"/>
      <c r="G101" s="105"/>
      <c r="H101" s="104"/>
      <c r="I101" s="103"/>
      <c r="J101" s="99"/>
      <c r="K101" s="102"/>
      <c r="L101" s="101"/>
      <c r="M101" s="100"/>
      <c r="N101" s="100"/>
      <c r="O101" s="100"/>
      <c r="P101" s="100"/>
      <c r="Q101" s="99"/>
      <c r="R101" s="98"/>
    </row>
    <row r="102" spans="1:18" ht="15" thickBot="1" x14ac:dyDescent="0.35">
      <c r="A102" s="97"/>
      <c r="B102" s="96"/>
      <c r="C102" s="95"/>
      <c r="D102" s="261" t="s">
        <v>21</v>
      </c>
      <c r="E102" s="262"/>
      <c r="F102" s="262"/>
      <c r="G102" s="262"/>
      <c r="H102" s="263"/>
      <c r="I102" s="94"/>
      <c r="J102" s="93" t="e">
        <f>+#REF!+J98+J99+J100+J101</f>
        <v>#REF!</v>
      </c>
      <c r="K102" s="93" t="e">
        <f>+#REF!+K98+K99+K100+K101</f>
        <v>#REF!</v>
      </c>
      <c r="L102" s="93" t="e">
        <f>+#REF!+L98+L99+L100+L101</f>
        <v>#REF!</v>
      </c>
      <c r="M102" s="93" t="e">
        <f>+#REF!+M98+M99+M100+M101</f>
        <v>#REF!</v>
      </c>
      <c r="N102" s="93" t="e">
        <f>+#REF!+N98+N99+N100+N101</f>
        <v>#REF!</v>
      </c>
      <c r="O102" s="93" t="e">
        <f>+#REF!+O98+O99+O100+O101</f>
        <v>#REF!</v>
      </c>
      <c r="P102" s="93" t="e">
        <f>+#REF!+P98+P99+P100+P101</f>
        <v>#REF!</v>
      </c>
      <c r="Q102" s="93" t="e">
        <f>+#REF!+Q98+Q99+Q100+Q101</f>
        <v>#REF!</v>
      </c>
      <c r="R102" s="93" t="e">
        <f>+#REF!+R98+R99+R100+R101</f>
        <v>#REF!</v>
      </c>
    </row>
  </sheetData>
  <autoFilter ref="A7:Y95">
    <sortState ref="A8:Y82">
      <sortCondition ref="A7:A95"/>
    </sortState>
  </autoFilter>
  <mergeCells count="3">
    <mergeCell ref="A1:R1"/>
    <mergeCell ref="A97:H97"/>
    <mergeCell ref="D102:H10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106"/>
  <sheetViews>
    <sheetView tabSelected="1" zoomScale="115" zoomScaleNormal="115" workbookViewId="0">
      <selection activeCell="A7" sqref="A7:L92"/>
    </sheetView>
  </sheetViews>
  <sheetFormatPr baseColWidth="10" defaultColWidth="11.5546875" defaultRowHeight="14.4" x14ac:dyDescent="0.3"/>
  <cols>
    <col min="2" max="2" width="19.88671875" customWidth="1"/>
    <col min="3" max="3" width="15.109375" customWidth="1"/>
    <col min="4" max="4" width="21.5546875" customWidth="1"/>
    <col min="5" max="5" width="45.33203125" style="185" customWidth="1"/>
    <col min="6" max="6" width="17.5546875" customWidth="1"/>
    <col min="7" max="7" width="20.5546875" customWidth="1"/>
    <col min="8" max="8" width="24.44140625" customWidth="1"/>
    <col min="9" max="9" width="15.33203125" customWidth="1"/>
    <col min="10" max="10" width="18.88671875" customWidth="1"/>
    <col min="11" max="11" width="14" customWidth="1"/>
    <col min="12" max="12" width="20.88671875" customWidth="1"/>
    <col min="13" max="13" width="11.5546875" style="157"/>
    <col min="14" max="14" width="33" style="157" customWidth="1"/>
    <col min="15" max="86" width="11.5546875" style="157"/>
  </cols>
  <sheetData>
    <row r="1" spans="1:13" ht="15" thickBot="1" x14ac:dyDescent="0.35">
      <c r="A1" s="264" t="s">
        <v>0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1"/>
    </row>
    <row r="2" spans="1:13" x14ac:dyDescent="0.3">
      <c r="A2" s="1"/>
      <c r="B2" s="1"/>
      <c r="C2" s="1"/>
      <c r="D2" s="1"/>
      <c r="E2" s="176"/>
      <c r="F2" s="2"/>
      <c r="G2" s="1"/>
      <c r="H2" s="1"/>
      <c r="I2" s="1"/>
      <c r="J2" s="1"/>
      <c r="K2" s="1"/>
      <c r="L2" s="1"/>
      <c r="M2" s="21"/>
    </row>
    <row r="3" spans="1:13" x14ac:dyDescent="0.3">
      <c r="A3" s="3" t="s">
        <v>1</v>
      </c>
      <c r="B3" s="3" t="s">
        <v>2</v>
      </c>
      <c r="C3" s="3"/>
      <c r="D3" s="3"/>
      <c r="E3" s="177"/>
      <c r="F3" s="2"/>
      <c r="G3" s="159"/>
      <c r="H3" s="159"/>
      <c r="I3" s="1"/>
      <c r="J3" s="1"/>
      <c r="K3" s="1"/>
      <c r="L3" s="1"/>
      <c r="M3" s="21"/>
    </row>
    <row r="4" spans="1:13" x14ac:dyDescent="0.3">
      <c r="A4" s="3" t="s">
        <v>3</v>
      </c>
      <c r="B4" s="3"/>
      <c r="C4" s="3"/>
      <c r="D4" s="3"/>
      <c r="E4" s="177"/>
      <c r="F4" s="2"/>
      <c r="G4" s="160"/>
      <c r="H4" s="159"/>
      <c r="I4" s="1"/>
      <c r="J4" s="1"/>
      <c r="K4" s="1"/>
      <c r="L4" s="1"/>
      <c r="M4" s="21"/>
    </row>
    <row r="5" spans="1:13" ht="15" customHeight="1" x14ac:dyDescent="0.3">
      <c r="A5" s="4" t="s">
        <v>69</v>
      </c>
      <c r="B5" s="3"/>
      <c r="C5" s="3"/>
      <c r="D5" s="3"/>
      <c r="E5" s="177"/>
      <c r="F5" s="2"/>
      <c r="G5" s="41"/>
      <c r="H5" s="159"/>
      <c r="I5" s="1"/>
      <c r="J5" s="1"/>
      <c r="K5" s="1"/>
      <c r="L5" s="1"/>
      <c r="M5" s="21"/>
    </row>
    <row r="6" spans="1:13" x14ac:dyDescent="0.3">
      <c r="A6" s="1"/>
      <c r="B6" s="1"/>
      <c r="C6" s="1"/>
      <c r="D6" s="1"/>
      <c r="E6" s="176"/>
      <c r="F6" s="2"/>
      <c r="G6" s="1"/>
      <c r="H6" s="1"/>
      <c r="I6" s="1"/>
      <c r="J6" s="1"/>
      <c r="K6" s="1"/>
      <c r="L6" s="1"/>
      <c r="M6" s="21"/>
    </row>
    <row r="7" spans="1:13" s="270" customFormat="1" x14ac:dyDescent="0.3">
      <c r="A7" s="289" t="s">
        <v>4</v>
      </c>
      <c r="B7" s="289" t="s">
        <v>5</v>
      </c>
      <c r="C7" s="290" t="s">
        <v>6</v>
      </c>
      <c r="D7" s="289" t="s">
        <v>7</v>
      </c>
      <c r="E7" s="291" t="s">
        <v>8</v>
      </c>
      <c r="F7" s="289" t="s">
        <v>9</v>
      </c>
      <c r="G7" s="289" t="s">
        <v>10</v>
      </c>
      <c r="H7" s="289" t="s">
        <v>11</v>
      </c>
      <c r="I7" s="289" t="s">
        <v>12</v>
      </c>
      <c r="J7" s="289" t="s">
        <v>13</v>
      </c>
      <c r="K7" s="289" t="s">
        <v>14</v>
      </c>
      <c r="L7" s="289" t="s">
        <v>15</v>
      </c>
      <c r="M7" s="273"/>
    </row>
    <row r="8" spans="1:13" s="274" customFormat="1" ht="17.399999999999999" customHeight="1" x14ac:dyDescent="0.3">
      <c r="A8" s="271" t="s">
        <v>80</v>
      </c>
      <c r="B8" s="271" t="s">
        <v>71</v>
      </c>
      <c r="C8" s="282">
        <v>1</v>
      </c>
      <c r="D8" s="283">
        <v>3625</v>
      </c>
      <c r="E8" s="271" t="s">
        <v>106</v>
      </c>
      <c r="F8" s="271"/>
      <c r="G8" s="271">
        <v>6198.33</v>
      </c>
      <c r="H8" s="271"/>
      <c r="I8" s="271">
        <f t="shared" ref="I8:I71" si="0">G8*(21/100)</f>
        <v>1301.6493</v>
      </c>
      <c r="J8" s="271"/>
      <c r="K8" s="272">
        <f t="shared" ref="K8:K71" si="1">SUM(G8:J8)</f>
        <v>7499.9793</v>
      </c>
      <c r="L8" s="271"/>
      <c r="M8" s="277"/>
    </row>
    <row r="9" spans="1:13" s="274" customFormat="1" ht="17.399999999999999" customHeight="1" x14ac:dyDescent="0.3">
      <c r="A9" s="271" t="s">
        <v>80</v>
      </c>
      <c r="B9" s="271" t="s">
        <v>71</v>
      </c>
      <c r="C9" s="282">
        <v>1</v>
      </c>
      <c r="D9" s="283">
        <v>3626</v>
      </c>
      <c r="E9" s="271" t="s">
        <v>106</v>
      </c>
      <c r="F9" s="271"/>
      <c r="G9" s="271">
        <v>7933.9</v>
      </c>
      <c r="H9" s="271"/>
      <c r="I9" s="271">
        <f t="shared" si="0"/>
        <v>1666.1189999999999</v>
      </c>
      <c r="J9" s="271"/>
      <c r="K9" s="272">
        <f t="shared" si="1"/>
        <v>9600.0190000000002</v>
      </c>
      <c r="L9" s="271"/>
      <c r="M9" s="277"/>
    </row>
    <row r="10" spans="1:13" s="274" customFormat="1" ht="17.399999999999999" customHeight="1" x14ac:dyDescent="0.3">
      <c r="A10" s="271" t="s">
        <v>80</v>
      </c>
      <c r="B10" s="271" t="s">
        <v>71</v>
      </c>
      <c r="C10" s="282">
        <v>1</v>
      </c>
      <c r="D10" s="283">
        <v>3627</v>
      </c>
      <c r="E10" s="271" t="s">
        <v>106</v>
      </c>
      <c r="F10" s="271"/>
      <c r="G10" s="271">
        <v>7933.9</v>
      </c>
      <c r="H10" s="271"/>
      <c r="I10" s="271">
        <f t="shared" si="0"/>
        <v>1666.1189999999999</v>
      </c>
      <c r="J10" s="271"/>
      <c r="K10" s="272">
        <f t="shared" si="1"/>
        <v>9600.0190000000002</v>
      </c>
      <c r="L10" s="271"/>
      <c r="M10" s="277"/>
    </row>
    <row r="11" spans="1:13" s="279" customFormat="1" ht="17.399999999999999" customHeight="1" x14ac:dyDescent="0.3">
      <c r="A11" s="271" t="s">
        <v>81</v>
      </c>
      <c r="B11" s="271" t="s">
        <v>72</v>
      </c>
      <c r="C11" s="282">
        <v>1</v>
      </c>
      <c r="D11" s="283">
        <v>321</v>
      </c>
      <c r="E11" s="271" t="s">
        <v>78</v>
      </c>
      <c r="F11" s="271">
        <v>30669701639</v>
      </c>
      <c r="G11" s="271">
        <v>825000</v>
      </c>
      <c r="H11" s="271"/>
      <c r="I11" s="271">
        <f t="shared" si="0"/>
        <v>173250</v>
      </c>
      <c r="J11" s="271"/>
      <c r="K11" s="272">
        <f t="shared" si="1"/>
        <v>998250</v>
      </c>
      <c r="L11" s="271"/>
      <c r="M11" s="278"/>
    </row>
    <row r="12" spans="1:13" s="274" customFormat="1" ht="17.399999999999999" customHeight="1" x14ac:dyDescent="0.3">
      <c r="A12" s="271" t="s">
        <v>81</v>
      </c>
      <c r="B12" s="271" t="s">
        <v>71</v>
      </c>
      <c r="C12" s="282">
        <v>1</v>
      </c>
      <c r="D12" s="283">
        <v>3628</v>
      </c>
      <c r="E12" s="271" t="s">
        <v>106</v>
      </c>
      <c r="F12" s="271"/>
      <c r="G12" s="271">
        <v>9256.19</v>
      </c>
      <c r="H12" s="271"/>
      <c r="I12" s="271">
        <f t="shared" si="0"/>
        <v>1943.7999</v>
      </c>
      <c r="J12" s="271"/>
      <c r="K12" s="272">
        <f t="shared" si="1"/>
        <v>11199.9899</v>
      </c>
      <c r="L12" s="271"/>
      <c r="M12" s="277"/>
    </row>
    <row r="13" spans="1:13" s="274" customFormat="1" ht="17.399999999999999" customHeight="1" x14ac:dyDescent="0.3">
      <c r="A13" s="271" t="s">
        <v>81</v>
      </c>
      <c r="B13" s="271" t="s">
        <v>71</v>
      </c>
      <c r="C13" s="282">
        <v>1</v>
      </c>
      <c r="D13" s="283">
        <v>3629</v>
      </c>
      <c r="E13" s="271" t="s">
        <v>106</v>
      </c>
      <c r="F13" s="271"/>
      <c r="G13" s="271">
        <v>9504.14</v>
      </c>
      <c r="H13" s="271"/>
      <c r="I13" s="271">
        <f t="shared" si="0"/>
        <v>1995.8693999999998</v>
      </c>
      <c r="J13" s="271"/>
      <c r="K13" s="272">
        <f t="shared" si="1"/>
        <v>11500.009399999999</v>
      </c>
      <c r="L13" s="271"/>
      <c r="M13" s="277"/>
    </row>
    <row r="14" spans="1:13" s="274" customFormat="1" ht="17.399999999999999" customHeight="1" x14ac:dyDescent="0.3">
      <c r="A14" s="271" t="s">
        <v>81</v>
      </c>
      <c r="B14" s="271" t="s">
        <v>71</v>
      </c>
      <c r="C14" s="282">
        <v>1</v>
      </c>
      <c r="D14" s="283">
        <v>3630</v>
      </c>
      <c r="E14" s="271" t="s">
        <v>106</v>
      </c>
      <c r="F14" s="271"/>
      <c r="G14" s="271">
        <v>26859.52</v>
      </c>
      <c r="H14" s="271"/>
      <c r="I14" s="271">
        <f t="shared" si="0"/>
        <v>5640.4992000000002</v>
      </c>
      <c r="J14" s="271"/>
      <c r="K14" s="272">
        <f t="shared" si="1"/>
        <v>32500.019200000002</v>
      </c>
      <c r="L14" s="271"/>
      <c r="M14" s="277"/>
    </row>
    <row r="15" spans="1:13" s="274" customFormat="1" ht="17.399999999999999" customHeight="1" x14ac:dyDescent="0.3">
      <c r="A15" s="271" t="s">
        <v>81</v>
      </c>
      <c r="B15" s="271" t="s">
        <v>71</v>
      </c>
      <c r="C15" s="282">
        <v>1</v>
      </c>
      <c r="D15" s="283">
        <v>3631</v>
      </c>
      <c r="E15" s="271" t="s">
        <v>106</v>
      </c>
      <c r="F15" s="271"/>
      <c r="G15" s="271">
        <v>6528.9</v>
      </c>
      <c r="H15" s="271"/>
      <c r="I15" s="271">
        <f t="shared" si="0"/>
        <v>1371.069</v>
      </c>
      <c r="J15" s="271"/>
      <c r="K15" s="272">
        <f t="shared" si="1"/>
        <v>7899.9689999999991</v>
      </c>
      <c r="L15" s="271"/>
      <c r="M15" s="277"/>
    </row>
    <row r="16" spans="1:13" s="274" customFormat="1" ht="17.399999999999999" customHeight="1" x14ac:dyDescent="0.3">
      <c r="A16" s="271" t="s">
        <v>81</v>
      </c>
      <c r="B16" s="271" t="s">
        <v>71</v>
      </c>
      <c r="C16" s="282">
        <v>1</v>
      </c>
      <c r="D16" s="283">
        <v>3632</v>
      </c>
      <c r="E16" s="271" t="s">
        <v>106</v>
      </c>
      <c r="F16" s="271"/>
      <c r="G16" s="271">
        <v>10330.57</v>
      </c>
      <c r="H16" s="271"/>
      <c r="I16" s="271">
        <f t="shared" si="0"/>
        <v>2169.4196999999999</v>
      </c>
      <c r="J16" s="271"/>
      <c r="K16" s="272">
        <f t="shared" si="1"/>
        <v>12499.9897</v>
      </c>
      <c r="L16" s="271"/>
      <c r="M16" s="277"/>
    </row>
    <row r="17" spans="1:13" s="274" customFormat="1" ht="17.399999999999999" customHeight="1" x14ac:dyDescent="0.3">
      <c r="A17" s="271" t="s">
        <v>81</v>
      </c>
      <c r="B17" s="271" t="s">
        <v>71</v>
      </c>
      <c r="C17" s="282">
        <v>1</v>
      </c>
      <c r="D17" s="283">
        <v>3633</v>
      </c>
      <c r="E17" s="271" t="s">
        <v>106</v>
      </c>
      <c r="F17" s="271"/>
      <c r="G17" s="271">
        <v>10330.57</v>
      </c>
      <c r="H17" s="271"/>
      <c r="I17" s="271">
        <f t="shared" si="0"/>
        <v>2169.4196999999999</v>
      </c>
      <c r="J17" s="271"/>
      <c r="K17" s="272">
        <f t="shared" si="1"/>
        <v>12499.9897</v>
      </c>
      <c r="L17" s="271"/>
      <c r="M17" s="277"/>
    </row>
    <row r="18" spans="1:13" s="274" customFormat="1" ht="17.399999999999999" customHeight="1" x14ac:dyDescent="0.3">
      <c r="A18" s="271" t="s">
        <v>81</v>
      </c>
      <c r="B18" s="271" t="s">
        <v>71</v>
      </c>
      <c r="C18" s="282">
        <v>1</v>
      </c>
      <c r="D18" s="283">
        <v>3634</v>
      </c>
      <c r="E18" s="271" t="s">
        <v>106</v>
      </c>
      <c r="F18" s="271"/>
      <c r="G18" s="271">
        <v>7933.9</v>
      </c>
      <c r="H18" s="271"/>
      <c r="I18" s="271">
        <f t="shared" si="0"/>
        <v>1666.1189999999999</v>
      </c>
      <c r="J18" s="271"/>
      <c r="K18" s="272">
        <f t="shared" si="1"/>
        <v>9600.0190000000002</v>
      </c>
      <c r="L18" s="271"/>
      <c r="M18" s="277"/>
    </row>
    <row r="19" spans="1:13" s="274" customFormat="1" ht="17.399999999999999" customHeight="1" x14ac:dyDescent="0.3">
      <c r="A19" s="271" t="s">
        <v>82</v>
      </c>
      <c r="B19" s="271" t="s">
        <v>71</v>
      </c>
      <c r="C19" s="282">
        <v>1</v>
      </c>
      <c r="D19" s="283">
        <v>3635</v>
      </c>
      <c r="E19" s="271" t="s">
        <v>106</v>
      </c>
      <c r="F19" s="271"/>
      <c r="G19" s="271">
        <v>12892.57</v>
      </c>
      <c r="H19" s="271"/>
      <c r="I19" s="271">
        <f t="shared" si="0"/>
        <v>2707.4396999999999</v>
      </c>
      <c r="J19" s="271"/>
      <c r="K19" s="272">
        <f t="shared" si="1"/>
        <v>15600.009699999999</v>
      </c>
      <c r="L19" s="271"/>
      <c r="M19" s="277"/>
    </row>
    <row r="20" spans="1:13" s="274" customFormat="1" ht="17.399999999999999" customHeight="1" x14ac:dyDescent="0.3">
      <c r="A20" s="271" t="s">
        <v>82</v>
      </c>
      <c r="B20" s="271" t="s">
        <v>71</v>
      </c>
      <c r="C20" s="282">
        <v>1</v>
      </c>
      <c r="D20" s="283">
        <v>3636</v>
      </c>
      <c r="E20" s="271" t="s">
        <v>106</v>
      </c>
      <c r="F20" s="271"/>
      <c r="G20" s="271">
        <v>8429.76</v>
      </c>
      <c r="H20" s="271"/>
      <c r="I20" s="271">
        <f t="shared" si="0"/>
        <v>1770.2495999999999</v>
      </c>
      <c r="J20" s="271"/>
      <c r="K20" s="272">
        <f t="shared" si="1"/>
        <v>10200.009599999999</v>
      </c>
      <c r="L20" s="271"/>
      <c r="M20" s="277"/>
    </row>
    <row r="21" spans="1:13" s="274" customFormat="1" ht="17.399999999999999" customHeight="1" x14ac:dyDescent="0.3">
      <c r="A21" s="271" t="s">
        <v>82</v>
      </c>
      <c r="B21" s="271" t="s">
        <v>71</v>
      </c>
      <c r="C21" s="282">
        <v>1</v>
      </c>
      <c r="D21" s="283">
        <v>3637</v>
      </c>
      <c r="E21" s="271" t="s">
        <v>106</v>
      </c>
      <c r="F21" s="271"/>
      <c r="G21" s="271">
        <v>12892.57</v>
      </c>
      <c r="H21" s="271"/>
      <c r="I21" s="271">
        <f t="shared" si="0"/>
        <v>2707.4396999999999</v>
      </c>
      <c r="J21" s="271"/>
      <c r="K21" s="272">
        <f t="shared" si="1"/>
        <v>15600.009699999999</v>
      </c>
      <c r="L21" s="271"/>
      <c r="M21" s="277"/>
    </row>
    <row r="22" spans="1:13" s="274" customFormat="1" ht="17.399999999999999" customHeight="1" x14ac:dyDescent="0.3">
      <c r="A22" s="271" t="s">
        <v>82</v>
      </c>
      <c r="B22" s="271" t="s">
        <v>71</v>
      </c>
      <c r="C22" s="282">
        <v>1</v>
      </c>
      <c r="D22" s="283">
        <v>3638</v>
      </c>
      <c r="E22" s="271" t="s">
        <v>106</v>
      </c>
      <c r="F22" s="271"/>
      <c r="G22" s="271">
        <v>8429.76</v>
      </c>
      <c r="H22" s="271"/>
      <c r="I22" s="271">
        <f t="shared" si="0"/>
        <v>1770.2495999999999</v>
      </c>
      <c r="J22" s="271"/>
      <c r="K22" s="272">
        <f t="shared" si="1"/>
        <v>10200.009599999999</v>
      </c>
      <c r="L22" s="271"/>
      <c r="M22" s="277"/>
    </row>
    <row r="23" spans="1:13" s="274" customFormat="1" ht="17.399999999999999" customHeight="1" x14ac:dyDescent="0.3">
      <c r="A23" s="271" t="s">
        <v>82</v>
      </c>
      <c r="B23" s="271" t="s">
        <v>71</v>
      </c>
      <c r="C23" s="282">
        <v>1</v>
      </c>
      <c r="D23" s="283">
        <v>3639</v>
      </c>
      <c r="E23" s="271" t="s">
        <v>106</v>
      </c>
      <c r="F23" s="271"/>
      <c r="G23" s="271">
        <v>10909.1</v>
      </c>
      <c r="H23" s="271"/>
      <c r="I23" s="271">
        <f t="shared" si="0"/>
        <v>2290.9110000000001</v>
      </c>
      <c r="J23" s="271"/>
      <c r="K23" s="272">
        <f t="shared" si="1"/>
        <v>13200.011</v>
      </c>
      <c r="L23" s="271"/>
      <c r="M23" s="277"/>
    </row>
    <row r="24" spans="1:13" s="279" customFormat="1" ht="17.399999999999999" customHeight="1" x14ac:dyDescent="0.3">
      <c r="A24" s="271" t="s">
        <v>83</v>
      </c>
      <c r="B24" s="271" t="s">
        <v>72</v>
      </c>
      <c r="C24" s="282">
        <v>1</v>
      </c>
      <c r="D24" s="283">
        <v>322</v>
      </c>
      <c r="E24" s="271" t="s">
        <v>73</v>
      </c>
      <c r="F24" s="271">
        <v>30707620192</v>
      </c>
      <c r="G24" s="271">
        <v>234000</v>
      </c>
      <c r="H24" s="271"/>
      <c r="I24" s="271">
        <f t="shared" si="0"/>
        <v>49140</v>
      </c>
      <c r="J24" s="271"/>
      <c r="K24" s="272">
        <f t="shared" si="1"/>
        <v>283140</v>
      </c>
      <c r="L24" s="271"/>
      <c r="M24" s="278"/>
    </row>
    <row r="25" spans="1:13" s="274" customFormat="1" ht="17.399999999999999" customHeight="1" x14ac:dyDescent="0.3">
      <c r="A25" s="271" t="s">
        <v>83</v>
      </c>
      <c r="B25" s="271" t="s">
        <v>71</v>
      </c>
      <c r="C25" s="282">
        <v>1</v>
      </c>
      <c r="D25" s="283">
        <v>3640</v>
      </c>
      <c r="E25" s="271" t="s">
        <v>106</v>
      </c>
      <c r="F25" s="271"/>
      <c r="G25" s="271">
        <v>12562</v>
      </c>
      <c r="H25" s="271"/>
      <c r="I25" s="271">
        <f t="shared" si="0"/>
        <v>2638.02</v>
      </c>
      <c r="J25" s="271"/>
      <c r="K25" s="272">
        <f t="shared" si="1"/>
        <v>15200.02</v>
      </c>
      <c r="L25" s="271"/>
      <c r="M25" s="277"/>
    </row>
    <row r="26" spans="1:13" s="274" customFormat="1" ht="17.399999999999999" customHeight="1" x14ac:dyDescent="0.3">
      <c r="A26" s="271" t="s">
        <v>83</v>
      </c>
      <c r="B26" s="271" t="s">
        <v>71</v>
      </c>
      <c r="C26" s="282">
        <v>1</v>
      </c>
      <c r="D26" s="283">
        <v>3641</v>
      </c>
      <c r="E26" s="271" t="s">
        <v>106</v>
      </c>
      <c r="F26" s="271"/>
      <c r="G26" s="271">
        <v>12562</v>
      </c>
      <c r="H26" s="271"/>
      <c r="I26" s="271">
        <f t="shared" si="0"/>
        <v>2638.02</v>
      </c>
      <c r="J26" s="271"/>
      <c r="K26" s="272">
        <f t="shared" si="1"/>
        <v>15200.02</v>
      </c>
      <c r="L26" s="271"/>
      <c r="M26" s="277"/>
    </row>
    <row r="27" spans="1:13" s="274" customFormat="1" ht="17.399999999999999" customHeight="1" x14ac:dyDescent="0.3">
      <c r="A27" s="271" t="s">
        <v>84</v>
      </c>
      <c r="B27" s="271" t="s">
        <v>71</v>
      </c>
      <c r="C27" s="282">
        <v>1</v>
      </c>
      <c r="D27" s="283">
        <v>3642</v>
      </c>
      <c r="E27" s="271" t="s">
        <v>106</v>
      </c>
      <c r="F27" s="271"/>
      <c r="G27" s="271">
        <v>9256.19</v>
      </c>
      <c r="H27" s="271"/>
      <c r="I27" s="271">
        <f t="shared" si="0"/>
        <v>1943.7999</v>
      </c>
      <c r="J27" s="271"/>
      <c r="K27" s="272">
        <f t="shared" si="1"/>
        <v>11199.9899</v>
      </c>
      <c r="L27" s="271"/>
      <c r="M27" s="277"/>
    </row>
    <row r="28" spans="1:13" s="274" customFormat="1" ht="17.399999999999999" customHeight="1" x14ac:dyDescent="0.3">
      <c r="A28" s="271" t="s">
        <v>84</v>
      </c>
      <c r="B28" s="271" t="s">
        <v>71</v>
      </c>
      <c r="C28" s="282">
        <v>1</v>
      </c>
      <c r="D28" s="283">
        <v>3643</v>
      </c>
      <c r="E28" s="271" t="s">
        <v>106</v>
      </c>
      <c r="F28" s="271"/>
      <c r="G28" s="271">
        <v>8429.76</v>
      </c>
      <c r="H28" s="271"/>
      <c r="I28" s="271">
        <f t="shared" si="0"/>
        <v>1770.2495999999999</v>
      </c>
      <c r="J28" s="271"/>
      <c r="K28" s="272">
        <f t="shared" si="1"/>
        <v>10200.009599999999</v>
      </c>
      <c r="L28" s="271"/>
      <c r="M28" s="277"/>
    </row>
    <row r="29" spans="1:13" s="274" customFormat="1" ht="17.399999999999999" customHeight="1" x14ac:dyDescent="0.3">
      <c r="A29" s="271" t="s">
        <v>84</v>
      </c>
      <c r="B29" s="271" t="s">
        <v>71</v>
      </c>
      <c r="C29" s="282">
        <v>1</v>
      </c>
      <c r="D29" s="283">
        <v>3644</v>
      </c>
      <c r="E29" s="271" t="s">
        <v>106</v>
      </c>
      <c r="F29" s="271"/>
      <c r="G29" s="271">
        <v>9256.19</v>
      </c>
      <c r="H29" s="271"/>
      <c r="I29" s="271">
        <f t="shared" si="0"/>
        <v>1943.7999</v>
      </c>
      <c r="J29" s="271"/>
      <c r="K29" s="272">
        <f t="shared" si="1"/>
        <v>11199.9899</v>
      </c>
      <c r="L29" s="271"/>
      <c r="M29" s="277"/>
    </row>
    <row r="30" spans="1:13" s="274" customFormat="1" ht="17.399999999999999" customHeight="1" x14ac:dyDescent="0.3">
      <c r="A30" s="271" t="s">
        <v>85</v>
      </c>
      <c r="B30" s="271" t="s">
        <v>71</v>
      </c>
      <c r="C30" s="282">
        <v>1</v>
      </c>
      <c r="D30" s="283">
        <v>3645</v>
      </c>
      <c r="E30" s="271" t="s">
        <v>106</v>
      </c>
      <c r="F30" s="271"/>
      <c r="G30" s="271">
        <v>10330.57</v>
      </c>
      <c r="H30" s="271"/>
      <c r="I30" s="271">
        <f t="shared" si="0"/>
        <v>2169.4196999999999</v>
      </c>
      <c r="J30" s="271"/>
      <c r="K30" s="272">
        <f t="shared" si="1"/>
        <v>12499.9897</v>
      </c>
      <c r="L30" s="271"/>
      <c r="M30" s="277"/>
    </row>
    <row r="31" spans="1:13" s="274" customFormat="1" ht="17.399999999999999" customHeight="1" x14ac:dyDescent="0.3">
      <c r="A31" s="271" t="s">
        <v>85</v>
      </c>
      <c r="B31" s="271" t="s">
        <v>71</v>
      </c>
      <c r="C31" s="282">
        <v>1</v>
      </c>
      <c r="D31" s="283">
        <v>3646</v>
      </c>
      <c r="E31" s="271" t="s">
        <v>106</v>
      </c>
      <c r="F31" s="271"/>
      <c r="G31" s="271">
        <v>9256.19</v>
      </c>
      <c r="H31" s="271"/>
      <c r="I31" s="271">
        <f t="shared" si="0"/>
        <v>1943.7999</v>
      </c>
      <c r="J31" s="271"/>
      <c r="K31" s="272">
        <f t="shared" si="1"/>
        <v>11199.9899</v>
      </c>
      <c r="L31" s="271"/>
      <c r="M31" s="277"/>
    </row>
    <row r="32" spans="1:13" s="274" customFormat="1" ht="17.399999999999999" customHeight="1" x14ac:dyDescent="0.3">
      <c r="A32" s="271" t="s">
        <v>86</v>
      </c>
      <c r="B32" s="271" t="s">
        <v>71</v>
      </c>
      <c r="C32" s="282">
        <v>1</v>
      </c>
      <c r="D32" s="283">
        <v>3647</v>
      </c>
      <c r="E32" s="271" t="s">
        <v>106</v>
      </c>
      <c r="F32" s="271"/>
      <c r="G32" s="271">
        <v>12562</v>
      </c>
      <c r="H32" s="271"/>
      <c r="I32" s="271">
        <f t="shared" si="0"/>
        <v>2638.02</v>
      </c>
      <c r="J32" s="271"/>
      <c r="K32" s="272">
        <f t="shared" si="1"/>
        <v>15200.02</v>
      </c>
      <c r="L32" s="271"/>
      <c r="M32" s="277"/>
    </row>
    <row r="33" spans="1:13" s="274" customFormat="1" ht="17.399999999999999" customHeight="1" x14ac:dyDescent="0.3">
      <c r="A33" s="271" t="s">
        <v>86</v>
      </c>
      <c r="B33" s="271" t="s">
        <v>71</v>
      </c>
      <c r="C33" s="282">
        <v>1</v>
      </c>
      <c r="D33" s="283">
        <v>3648</v>
      </c>
      <c r="E33" s="271" t="s">
        <v>106</v>
      </c>
      <c r="F33" s="271"/>
      <c r="G33" s="271">
        <v>8264.48</v>
      </c>
      <c r="H33" s="271"/>
      <c r="I33" s="271">
        <f t="shared" si="0"/>
        <v>1735.5407999999998</v>
      </c>
      <c r="J33" s="271"/>
      <c r="K33" s="272">
        <f t="shared" si="1"/>
        <v>10000.020799999998</v>
      </c>
      <c r="L33" s="271"/>
      <c r="M33" s="277"/>
    </row>
    <row r="34" spans="1:13" s="274" customFormat="1" ht="17.399999999999999" customHeight="1" x14ac:dyDescent="0.3">
      <c r="A34" s="271" t="s">
        <v>86</v>
      </c>
      <c r="B34" s="271" t="s">
        <v>71</v>
      </c>
      <c r="C34" s="282">
        <v>1</v>
      </c>
      <c r="D34" s="283">
        <v>3649</v>
      </c>
      <c r="E34" s="271" t="s">
        <v>106</v>
      </c>
      <c r="F34" s="271"/>
      <c r="G34" s="271">
        <v>7851.24</v>
      </c>
      <c r="H34" s="271"/>
      <c r="I34" s="271">
        <f t="shared" si="0"/>
        <v>1648.7603999999999</v>
      </c>
      <c r="J34" s="271"/>
      <c r="K34" s="272">
        <f t="shared" si="1"/>
        <v>9500.000399999999</v>
      </c>
      <c r="L34" s="271"/>
      <c r="M34" s="277"/>
    </row>
    <row r="35" spans="1:13" s="274" customFormat="1" ht="17.399999999999999" customHeight="1" x14ac:dyDescent="0.3">
      <c r="A35" s="271" t="s">
        <v>86</v>
      </c>
      <c r="B35" s="271" t="s">
        <v>71</v>
      </c>
      <c r="C35" s="282">
        <v>1</v>
      </c>
      <c r="D35" s="283">
        <v>3650</v>
      </c>
      <c r="E35" s="271" t="s">
        <v>106</v>
      </c>
      <c r="F35" s="271"/>
      <c r="G35" s="271">
        <v>10330.57</v>
      </c>
      <c r="H35" s="271"/>
      <c r="I35" s="271">
        <f t="shared" si="0"/>
        <v>2169.4196999999999</v>
      </c>
      <c r="J35" s="271"/>
      <c r="K35" s="272">
        <f t="shared" si="1"/>
        <v>12499.9897</v>
      </c>
      <c r="L35" s="271"/>
      <c r="M35" s="277"/>
    </row>
    <row r="36" spans="1:13" s="274" customFormat="1" ht="17.399999999999999" customHeight="1" x14ac:dyDescent="0.3">
      <c r="A36" s="271" t="s">
        <v>87</v>
      </c>
      <c r="B36" s="271" t="s">
        <v>71</v>
      </c>
      <c r="C36" s="282">
        <v>1</v>
      </c>
      <c r="D36" s="283">
        <v>3651</v>
      </c>
      <c r="E36" s="271" t="s">
        <v>106</v>
      </c>
      <c r="F36" s="271"/>
      <c r="G36" s="271">
        <v>9917.33</v>
      </c>
      <c r="H36" s="271"/>
      <c r="I36" s="271">
        <f t="shared" si="0"/>
        <v>2082.6392999999998</v>
      </c>
      <c r="J36" s="271"/>
      <c r="K36" s="272">
        <f t="shared" si="1"/>
        <v>11999.969300000001</v>
      </c>
      <c r="L36" s="271"/>
      <c r="M36" s="277"/>
    </row>
    <row r="37" spans="1:13" s="274" customFormat="1" ht="17.399999999999999" customHeight="1" x14ac:dyDescent="0.3">
      <c r="A37" s="271" t="s">
        <v>87</v>
      </c>
      <c r="B37" s="271" t="s">
        <v>71</v>
      </c>
      <c r="C37" s="282">
        <v>1</v>
      </c>
      <c r="D37" s="283">
        <v>3652</v>
      </c>
      <c r="E37" s="271" t="s">
        <v>106</v>
      </c>
      <c r="F37" s="271"/>
      <c r="G37" s="271">
        <v>8677.67</v>
      </c>
      <c r="H37" s="271"/>
      <c r="I37" s="271">
        <f t="shared" si="0"/>
        <v>1822.3107</v>
      </c>
      <c r="J37" s="271"/>
      <c r="K37" s="272">
        <f t="shared" si="1"/>
        <v>10499.9807</v>
      </c>
      <c r="L37" s="271"/>
      <c r="M37" s="277"/>
    </row>
    <row r="38" spans="1:13" s="274" customFormat="1" ht="17.399999999999999" customHeight="1" x14ac:dyDescent="0.3">
      <c r="A38" s="271" t="s">
        <v>87</v>
      </c>
      <c r="B38" s="271" t="s">
        <v>71</v>
      </c>
      <c r="C38" s="282">
        <v>1</v>
      </c>
      <c r="D38" s="283">
        <v>3653</v>
      </c>
      <c r="E38" s="271" t="s">
        <v>106</v>
      </c>
      <c r="F38" s="271"/>
      <c r="G38" s="271">
        <v>10165.290000000001</v>
      </c>
      <c r="H38" s="271"/>
      <c r="I38" s="271">
        <f t="shared" si="0"/>
        <v>2134.7109</v>
      </c>
      <c r="J38" s="271"/>
      <c r="K38" s="272">
        <f t="shared" si="1"/>
        <v>12300.000900000001</v>
      </c>
      <c r="L38" s="271"/>
      <c r="M38" s="277"/>
    </row>
    <row r="39" spans="1:13" s="279" customFormat="1" ht="17.399999999999999" customHeight="1" x14ac:dyDescent="0.3">
      <c r="A39" s="271" t="s">
        <v>88</v>
      </c>
      <c r="B39" s="271" t="s">
        <v>72</v>
      </c>
      <c r="C39" s="282">
        <v>1</v>
      </c>
      <c r="D39" s="283">
        <v>323</v>
      </c>
      <c r="E39" s="271" t="s">
        <v>73</v>
      </c>
      <c r="F39" s="271">
        <v>30707620192</v>
      </c>
      <c r="G39" s="271">
        <v>624000</v>
      </c>
      <c r="H39" s="271"/>
      <c r="I39" s="271">
        <f t="shared" si="0"/>
        <v>131040</v>
      </c>
      <c r="J39" s="271"/>
      <c r="K39" s="272">
        <f t="shared" si="1"/>
        <v>755040</v>
      </c>
      <c r="L39" s="271"/>
      <c r="M39" s="278"/>
    </row>
    <row r="40" spans="1:13" s="274" customFormat="1" ht="17.399999999999999" customHeight="1" x14ac:dyDescent="0.3">
      <c r="A40" s="271" t="s">
        <v>88</v>
      </c>
      <c r="B40" s="271" t="s">
        <v>71</v>
      </c>
      <c r="C40" s="282">
        <v>1</v>
      </c>
      <c r="D40" s="283">
        <v>3654</v>
      </c>
      <c r="E40" s="271" t="s">
        <v>106</v>
      </c>
      <c r="F40" s="271"/>
      <c r="G40" s="271">
        <v>9256.19</v>
      </c>
      <c r="H40" s="271"/>
      <c r="I40" s="271">
        <f t="shared" si="0"/>
        <v>1943.7999</v>
      </c>
      <c r="J40" s="271"/>
      <c r="K40" s="272">
        <f t="shared" si="1"/>
        <v>11199.9899</v>
      </c>
      <c r="L40" s="271"/>
      <c r="M40" s="277"/>
    </row>
    <row r="41" spans="1:13" s="274" customFormat="1" ht="17.399999999999999" customHeight="1" x14ac:dyDescent="0.3">
      <c r="A41" s="271" t="s">
        <v>88</v>
      </c>
      <c r="B41" s="271" t="s">
        <v>71</v>
      </c>
      <c r="C41" s="282">
        <v>1</v>
      </c>
      <c r="D41" s="283">
        <v>3655</v>
      </c>
      <c r="E41" s="271" t="s">
        <v>106</v>
      </c>
      <c r="F41" s="271"/>
      <c r="G41" s="271">
        <v>6528.9</v>
      </c>
      <c r="H41" s="271"/>
      <c r="I41" s="271">
        <f t="shared" si="0"/>
        <v>1371.069</v>
      </c>
      <c r="J41" s="271"/>
      <c r="K41" s="272">
        <f t="shared" si="1"/>
        <v>7899.9689999999991</v>
      </c>
      <c r="L41" s="271"/>
      <c r="M41" s="277"/>
    </row>
    <row r="42" spans="1:13" s="274" customFormat="1" ht="17.399999999999999" customHeight="1" x14ac:dyDescent="0.3">
      <c r="A42" s="271" t="s">
        <v>88</v>
      </c>
      <c r="B42" s="271" t="s">
        <v>71</v>
      </c>
      <c r="C42" s="282">
        <v>1</v>
      </c>
      <c r="D42" s="283">
        <v>3656</v>
      </c>
      <c r="E42" s="271" t="s">
        <v>106</v>
      </c>
      <c r="F42" s="271"/>
      <c r="G42" s="271">
        <v>17768.57</v>
      </c>
      <c r="H42" s="271"/>
      <c r="I42" s="271">
        <f t="shared" si="0"/>
        <v>3731.3996999999999</v>
      </c>
      <c r="J42" s="271"/>
      <c r="K42" s="272">
        <f t="shared" si="1"/>
        <v>21499.969700000001</v>
      </c>
      <c r="L42" s="271"/>
      <c r="M42" s="277"/>
    </row>
    <row r="43" spans="1:13" s="274" customFormat="1" ht="17.399999999999999" customHeight="1" x14ac:dyDescent="0.3">
      <c r="A43" s="271" t="s">
        <v>88</v>
      </c>
      <c r="B43" s="271" t="s">
        <v>71</v>
      </c>
      <c r="C43" s="282">
        <v>1</v>
      </c>
      <c r="D43" s="283">
        <v>3657</v>
      </c>
      <c r="E43" s="271" t="s">
        <v>106</v>
      </c>
      <c r="F43" s="271"/>
      <c r="G43" s="271">
        <v>9504.14</v>
      </c>
      <c r="H43" s="271"/>
      <c r="I43" s="271">
        <f t="shared" si="0"/>
        <v>1995.8693999999998</v>
      </c>
      <c r="J43" s="271"/>
      <c r="K43" s="272">
        <f t="shared" si="1"/>
        <v>11500.009399999999</v>
      </c>
      <c r="L43" s="271"/>
      <c r="M43" s="277"/>
    </row>
    <row r="44" spans="1:13" s="274" customFormat="1" ht="17.399999999999999" customHeight="1" x14ac:dyDescent="0.3">
      <c r="A44" s="271" t="s">
        <v>88</v>
      </c>
      <c r="B44" s="271" t="s">
        <v>71</v>
      </c>
      <c r="C44" s="282">
        <v>1</v>
      </c>
      <c r="D44" s="283">
        <v>3658</v>
      </c>
      <c r="E44" s="271" t="s">
        <v>106</v>
      </c>
      <c r="F44" s="271"/>
      <c r="G44" s="271">
        <v>8099.19</v>
      </c>
      <c r="H44" s="271"/>
      <c r="I44" s="271">
        <f t="shared" si="0"/>
        <v>1700.8299</v>
      </c>
      <c r="J44" s="271"/>
      <c r="K44" s="272">
        <f t="shared" si="1"/>
        <v>9800.0198999999993</v>
      </c>
      <c r="L44" s="271"/>
      <c r="M44" s="277"/>
    </row>
    <row r="45" spans="1:13" s="274" customFormat="1" ht="17.399999999999999" customHeight="1" x14ac:dyDescent="0.3">
      <c r="A45" s="271" t="s">
        <v>89</v>
      </c>
      <c r="B45" s="271" t="s">
        <v>71</v>
      </c>
      <c r="C45" s="282">
        <v>1</v>
      </c>
      <c r="D45" s="283">
        <v>3659</v>
      </c>
      <c r="E45" s="271" t="s">
        <v>106</v>
      </c>
      <c r="F45" s="271"/>
      <c r="G45" s="271">
        <v>9256.19</v>
      </c>
      <c r="H45" s="271"/>
      <c r="I45" s="271">
        <f t="shared" si="0"/>
        <v>1943.7999</v>
      </c>
      <c r="J45" s="271"/>
      <c r="K45" s="272">
        <f t="shared" si="1"/>
        <v>11199.9899</v>
      </c>
      <c r="L45" s="271"/>
      <c r="M45" s="277"/>
    </row>
    <row r="46" spans="1:13" s="274" customFormat="1" ht="17.399999999999999" customHeight="1" x14ac:dyDescent="0.3">
      <c r="A46" s="271" t="s">
        <v>89</v>
      </c>
      <c r="B46" s="271" t="s">
        <v>71</v>
      </c>
      <c r="C46" s="282">
        <v>1</v>
      </c>
      <c r="D46" s="283">
        <v>3660</v>
      </c>
      <c r="E46" s="271" t="s">
        <v>106</v>
      </c>
      <c r="F46" s="271"/>
      <c r="G46" s="271">
        <v>8099.19</v>
      </c>
      <c r="H46" s="271"/>
      <c r="I46" s="271">
        <f t="shared" si="0"/>
        <v>1700.8299</v>
      </c>
      <c r="J46" s="271"/>
      <c r="K46" s="272">
        <f t="shared" si="1"/>
        <v>9800.0198999999993</v>
      </c>
      <c r="L46" s="271"/>
      <c r="M46" s="277"/>
    </row>
    <row r="47" spans="1:13" s="274" customFormat="1" ht="17.399999999999999" customHeight="1" x14ac:dyDescent="0.3">
      <c r="A47" s="271" t="s">
        <v>90</v>
      </c>
      <c r="B47" s="271" t="s">
        <v>71</v>
      </c>
      <c r="C47" s="282">
        <v>1</v>
      </c>
      <c r="D47" s="283">
        <v>3661</v>
      </c>
      <c r="E47" s="271" t="s">
        <v>106</v>
      </c>
      <c r="F47" s="271"/>
      <c r="G47" s="271">
        <v>8429.76</v>
      </c>
      <c r="H47" s="271"/>
      <c r="I47" s="271">
        <f t="shared" si="0"/>
        <v>1770.2495999999999</v>
      </c>
      <c r="J47" s="271"/>
      <c r="K47" s="272">
        <f t="shared" si="1"/>
        <v>10200.009599999999</v>
      </c>
      <c r="L47" s="271"/>
      <c r="M47" s="277"/>
    </row>
    <row r="48" spans="1:13" s="274" customFormat="1" ht="17.399999999999999" customHeight="1" x14ac:dyDescent="0.3">
      <c r="A48" s="271" t="s">
        <v>90</v>
      </c>
      <c r="B48" s="271" t="s">
        <v>71</v>
      </c>
      <c r="C48" s="282">
        <v>1</v>
      </c>
      <c r="D48" s="283">
        <v>3662</v>
      </c>
      <c r="E48" s="271" t="s">
        <v>106</v>
      </c>
      <c r="F48" s="271"/>
      <c r="G48" s="271">
        <v>16942.14</v>
      </c>
      <c r="H48" s="271"/>
      <c r="I48" s="271">
        <f t="shared" si="0"/>
        <v>3557.8493999999996</v>
      </c>
      <c r="J48" s="271"/>
      <c r="K48" s="272">
        <f t="shared" si="1"/>
        <v>20499.989399999999</v>
      </c>
      <c r="L48" s="271"/>
      <c r="M48" s="277"/>
    </row>
    <row r="49" spans="1:13" s="274" customFormat="1" ht="17.399999999999999" customHeight="1" x14ac:dyDescent="0.3">
      <c r="A49" s="271" t="s">
        <v>91</v>
      </c>
      <c r="B49" s="271" t="s">
        <v>71</v>
      </c>
      <c r="C49" s="282">
        <v>1</v>
      </c>
      <c r="D49" s="283">
        <v>3663</v>
      </c>
      <c r="E49" s="271" t="s">
        <v>106</v>
      </c>
      <c r="F49" s="271"/>
      <c r="G49" s="271">
        <v>12562</v>
      </c>
      <c r="H49" s="271"/>
      <c r="I49" s="271">
        <f t="shared" si="0"/>
        <v>2638.02</v>
      </c>
      <c r="J49" s="271"/>
      <c r="K49" s="272">
        <f t="shared" si="1"/>
        <v>15200.02</v>
      </c>
      <c r="L49" s="271"/>
      <c r="M49" s="277"/>
    </row>
    <row r="50" spans="1:13" s="274" customFormat="1" ht="17.399999999999999" customHeight="1" x14ac:dyDescent="0.3">
      <c r="A50" s="271" t="s">
        <v>92</v>
      </c>
      <c r="B50" s="271" t="s">
        <v>71</v>
      </c>
      <c r="C50" s="282">
        <v>1</v>
      </c>
      <c r="D50" s="283">
        <v>3664</v>
      </c>
      <c r="E50" s="271" t="s">
        <v>106</v>
      </c>
      <c r="F50" s="271"/>
      <c r="G50" s="271">
        <v>8099.19</v>
      </c>
      <c r="H50" s="271"/>
      <c r="I50" s="271">
        <f t="shared" si="0"/>
        <v>1700.8299</v>
      </c>
      <c r="J50" s="271"/>
      <c r="K50" s="272">
        <f t="shared" si="1"/>
        <v>9800.0198999999993</v>
      </c>
      <c r="L50" s="271"/>
      <c r="M50" s="277"/>
    </row>
    <row r="51" spans="1:13" s="274" customFormat="1" ht="17.399999999999999" customHeight="1" x14ac:dyDescent="0.3">
      <c r="A51" s="271" t="s">
        <v>92</v>
      </c>
      <c r="B51" s="271" t="s">
        <v>71</v>
      </c>
      <c r="C51" s="282">
        <v>1</v>
      </c>
      <c r="D51" s="283">
        <v>3665</v>
      </c>
      <c r="E51" s="271" t="s">
        <v>106</v>
      </c>
      <c r="F51" s="271"/>
      <c r="G51" s="271">
        <v>7933.9</v>
      </c>
      <c r="H51" s="271"/>
      <c r="I51" s="271">
        <f t="shared" si="0"/>
        <v>1666.1189999999999</v>
      </c>
      <c r="J51" s="271"/>
      <c r="K51" s="272">
        <f t="shared" si="1"/>
        <v>9600.0190000000002</v>
      </c>
      <c r="L51" s="271"/>
      <c r="M51" s="277"/>
    </row>
    <row r="52" spans="1:13" s="274" customFormat="1" ht="17.399999999999999" customHeight="1" x14ac:dyDescent="0.3">
      <c r="A52" s="271" t="s">
        <v>93</v>
      </c>
      <c r="B52" s="271" t="s">
        <v>71</v>
      </c>
      <c r="C52" s="282">
        <v>1</v>
      </c>
      <c r="D52" s="283">
        <v>3666</v>
      </c>
      <c r="E52" s="271" t="s">
        <v>106</v>
      </c>
      <c r="F52" s="271"/>
      <c r="G52" s="271">
        <v>12562</v>
      </c>
      <c r="H52" s="271"/>
      <c r="I52" s="271">
        <f t="shared" si="0"/>
        <v>2638.02</v>
      </c>
      <c r="J52" s="271"/>
      <c r="K52" s="272">
        <f t="shared" si="1"/>
        <v>15200.02</v>
      </c>
      <c r="L52" s="271"/>
      <c r="M52" s="277"/>
    </row>
    <row r="53" spans="1:13" s="274" customFormat="1" ht="17.399999999999999" customHeight="1" x14ac:dyDescent="0.3">
      <c r="A53" s="271" t="s">
        <v>93</v>
      </c>
      <c r="B53" s="271" t="s">
        <v>71</v>
      </c>
      <c r="C53" s="282">
        <v>1</v>
      </c>
      <c r="D53" s="283">
        <v>3667</v>
      </c>
      <c r="E53" s="271" t="s">
        <v>106</v>
      </c>
      <c r="F53" s="271"/>
      <c r="G53" s="271">
        <v>8429.76</v>
      </c>
      <c r="H53" s="271"/>
      <c r="I53" s="271">
        <f t="shared" si="0"/>
        <v>1770.2495999999999</v>
      </c>
      <c r="J53" s="271"/>
      <c r="K53" s="272">
        <f t="shared" si="1"/>
        <v>10200.009599999999</v>
      </c>
      <c r="L53" s="271"/>
      <c r="M53" s="277"/>
    </row>
    <row r="54" spans="1:13" s="274" customFormat="1" ht="17.399999999999999" customHeight="1" x14ac:dyDescent="0.3">
      <c r="A54" s="271" t="s">
        <v>93</v>
      </c>
      <c r="B54" s="271" t="s">
        <v>71</v>
      </c>
      <c r="C54" s="282">
        <v>1</v>
      </c>
      <c r="D54" s="283">
        <v>3668</v>
      </c>
      <c r="E54" s="271" t="s">
        <v>106</v>
      </c>
      <c r="F54" s="271"/>
      <c r="G54" s="271">
        <v>4628.1000000000004</v>
      </c>
      <c r="H54" s="271"/>
      <c r="I54" s="271">
        <f t="shared" si="0"/>
        <v>971.90100000000007</v>
      </c>
      <c r="J54" s="271"/>
      <c r="K54" s="272">
        <f t="shared" si="1"/>
        <v>5600.0010000000002</v>
      </c>
      <c r="L54" s="271"/>
      <c r="M54" s="277"/>
    </row>
    <row r="55" spans="1:13" s="274" customFormat="1" ht="17.399999999999999" customHeight="1" x14ac:dyDescent="0.3">
      <c r="A55" s="271" t="s">
        <v>93</v>
      </c>
      <c r="B55" s="271" t="s">
        <v>71</v>
      </c>
      <c r="C55" s="282">
        <v>1</v>
      </c>
      <c r="D55" s="283">
        <v>3669</v>
      </c>
      <c r="E55" s="271" t="s">
        <v>106</v>
      </c>
      <c r="F55" s="271"/>
      <c r="G55" s="271">
        <v>7933.9</v>
      </c>
      <c r="H55" s="271"/>
      <c r="I55" s="271">
        <f t="shared" si="0"/>
        <v>1666.1189999999999</v>
      </c>
      <c r="J55" s="271"/>
      <c r="K55" s="272">
        <f t="shared" si="1"/>
        <v>9600.0190000000002</v>
      </c>
      <c r="L55" s="271"/>
      <c r="M55" s="277"/>
    </row>
    <row r="56" spans="1:13" s="279" customFormat="1" ht="17.399999999999999" customHeight="1" x14ac:dyDescent="0.3">
      <c r="A56" s="271" t="s">
        <v>94</v>
      </c>
      <c r="B56" s="271" t="s">
        <v>72</v>
      </c>
      <c r="C56" s="282">
        <v>1</v>
      </c>
      <c r="D56" s="283">
        <v>324</v>
      </c>
      <c r="E56" s="271" t="s">
        <v>73</v>
      </c>
      <c r="F56" s="271">
        <v>30707620192</v>
      </c>
      <c r="G56" s="271">
        <v>624000</v>
      </c>
      <c r="H56" s="271"/>
      <c r="I56" s="271">
        <f t="shared" si="0"/>
        <v>131040</v>
      </c>
      <c r="J56" s="271"/>
      <c r="K56" s="272">
        <f t="shared" si="1"/>
        <v>755040</v>
      </c>
      <c r="L56" s="271"/>
      <c r="M56" s="278"/>
    </row>
    <row r="57" spans="1:13" s="274" customFormat="1" ht="17.399999999999999" customHeight="1" x14ac:dyDescent="0.3">
      <c r="A57" s="271" t="s">
        <v>94</v>
      </c>
      <c r="B57" s="271" t="s">
        <v>71</v>
      </c>
      <c r="C57" s="282">
        <v>1</v>
      </c>
      <c r="D57" s="283">
        <v>3670</v>
      </c>
      <c r="E57" s="271" t="s">
        <v>106</v>
      </c>
      <c r="F57" s="271"/>
      <c r="G57" s="271">
        <v>9256.19</v>
      </c>
      <c r="H57" s="271"/>
      <c r="I57" s="271">
        <f t="shared" si="0"/>
        <v>1943.7999</v>
      </c>
      <c r="J57" s="271"/>
      <c r="K57" s="272">
        <f t="shared" si="1"/>
        <v>11199.9899</v>
      </c>
      <c r="L57" s="271"/>
      <c r="M57" s="277"/>
    </row>
    <row r="58" spans="1:13" s="274" customFormat="1" ht="17.399999999999999" customHeight="1" x14ac:dyDescent="0.3">
      <c r="A58" s="271" t="s">
        <v>94</v>
      </c>
      <c r="B58" s="271" t="s">
        <v>71</v>
      </c>
      <c r="C58" s="282">
        <v>1</v>
      </c>
      <c r="D58" s="283">
        <v>3671</v>
      </c>
      <c r="E58" s="271" t="s">
        <v>106</v>
      </c>
      <c r="F58" s="271"/>
      <c r="G58" s="271">
        <v>7933.9</v>
      </c>
      <c r="H58" s="271"/>
      <c r="I58" s="271">
        <f t="shared" si="0"/>
        <v>1666.1189999999999</v>
      </c>
      <c r="J58" s="271"/>
      <c r="K58" s="272">
        <f t="shared" si="1"/>
        <v>9600.0190000000002</v>
      </c>
      <c r="L58" s="271"/>
      <c r="M58" s="277"/>
    </row>
    <row r="59" spans="1:13" s="274" customFormat="1" ht="17.399999999999999" customHeight="1" x14ac:dyDescent="0.3">
      <c r="A59" s="271" t="s">
        <v>95</v>
      </c>
      <c r="B59" s="271" t="s">
        <v>71</v>
      </c>
      <c r="C59" s="282">
        <v>1</v>
      </c>
      <c r="D59" s="283">
        <v>3672</v>
      </c>
      <c r="E59" s="271" t="s">
        <v>106</v>
      </c>
      <c r="F59" s="271"/>
      <c r="G59" s="271">
        <v>10000</v>
      </c>
      <c r="H59" s="271"/>
      <c r="I59" s="271">
        <f t="shared" si="0"/>
        <v>2100</v>
      </c>
      <c r="J59" s="271"/>
      <c r="K59" s="272">
        <f t="shared" si="1"/>
        <v>12100</v>
      </c>
      <c r="L59" s="271"/>
      <c r="M59" s="277"/>
    </row>
    <row r="60" spans="1:13" s="274" customFormat="1" ht="17.399999999999999" customHeight="1" x14ac:dyDescent="0.3">
      <c r="A60" s="271" t="s">
        <v>95</v>
      </c>
      <c r="B60" s="271" t="s">
        <v>71</v>
      </c>
      <c r="C60" s="282">
        <v>1</v>
      </c>
      <c r="D60" s="283">
        <v>3673</v>
      </c>
      <c r="E60" s="271" t="s">
        <v>106</v>
      </c>
      <c r="F60" s="271"/>
      <c r="G60" s="271">
        <v>5371.9</v>
      </c>
      <c r="H60" s="271"/>
      <c r="I60" s="271">
        <f t="shared" si="0"/>
        <v>1128.0989999999999</v>
      </c>
      <c r="J60" s="271"/>
      <c r="K60" s="272">
        <f t="shared" si="1"/>
        <v>6499.9989999999998</v>
      </c>
      <c r="L60" s="271"/>
      <c r="M60" s="277"/>
    </row>
    <row r="61" spans="1:13" s="274" customFormat="1" ht="17.399999999999999" customHeight="1" x14ac:dyDescent="0.3">
      <c r="A61" s="271" t="s">
        <v>95</v>
      </c>
      <c r="B61" s="271" t="s">
        <v>71</v>
      </c>
      <c r="C61" s="282">
        <v>1</v>
      </c>
      <c r="D61" s="283">
        <v>3674</v>
      </c>
      <c r="E61" s="271" t="s">
        <v>106</v>
      </c>
      <c r="F61" s="271"/>
      <c r="G61" s="271">
        <v>7520.67</v>
      </c>
      <c r="H61" s="271"/>
      <c r="I61" s="271">
        <f t="shared" si="0"/>
        <v>1579.3407</v>
      </c>
      <c r="J61" s="271"/>
      <c r="K61" s="272">
        <f t="shared" si="1"/>
        <v>9100.0107000000007</v>
      </c>
      <c r="L61" s="271"/>
      <c r="M61" s="277"/>
    </row>
    <row r="62" spans="1:13" s="274" customFormat="1" ht="17.399999999999999" customHeight="1" x14ac:dyDescent="0.3">
      <c r="A62" s="271" t="s">
        <v>95</v>
      </c>
      <c r="B62" s="271" t="s">
        <v>71</v>
      </c>
      <c r="C62" s="282">
        <v>1</v>
      </c>
      <c r="D62" s="283">
        <v>3675</v>
      </c>
      <c r="E62" s="271" t="s">
        <v>106</v>
      </c>
      <c r="F62" s="271"/>
      <c r="G62" s="271">
        <v>8429.76</v>
      </c>
      <c r="H62" s="271"/>
      <c r="I62" s="271">
        <f t="shared" si="0"/>
        <v>1770.2495999999999</v>
      </c>
      <c r="J62" s="271"/>
      <c r="K62" s="272">
        <f t="shared" si="1"/>
        <v>10200.009599999999</v>
      </c>
      <c r="L62" s="271"/>
      <c r="M62" s="277"/>
    </row>
    <row r="63" spans="1:13" s="274" customFormat="1" ht="17.399999999999999" customHeight="1" x14ac:dyDescent="0.3">
      <c r="A63" s="271" t="s">
        <v>96</v>
      </c>
      <c r="B63" s="271" t="s">
        <v>71</v>
      </c>
      <c r="C63" s="282">
        <v>1</v>
      </c>
      <c r="D63" s="283">
        <v>3676</v>
      </c>
      <c r="E63" s="271" t="s">
        <v>106</v>
      </c>
      <c r="F63" s="271"/>
      <c r="G63" s="271">
        <v>12562</v>
      </c>
      <c r="H63" s="271"/>
      <c r="I63" s="271">
        <f t="shared" si="0"/>
        <v>2638.02</v>
      </c>
      <c r="J63" s="271"/>
      <c r="K63" s="272">
        <f t="shared" si="1"/>
        <v>15200.02</v>
      </c>
      <c r="L63" s="271"/>
      <c r="M63" s="277"/>
    </row>
    <row r="64" spans="1:13" s="274" customFormat="1" ht="17.399999999999999" customHeight="1" x14ac:dyDescent="0.3">
      <c r="A64" s="271" t="s">
        <v>96</v>
      </c>
      <c r="B64" s="271" t="s">
        <v>71</v>
      </c>
      <c r="C64" s="282">
        <v>1</v>
      </c>
      <c r="D64" s="283">
        <v>3677</v>
      </c>
      <c r="E64" s="271" t="s">
        <v>106</v>
      </c>
      <c r="F64" s="271"/>
      <c r="G64" s="271">
        <v>1652.9</v>
      </c>
      <c r="H64" s="271"/>
      <c r="I64" s="271">
        <f t="shared" si="0"/>
        <v>347.10899999999998</v>
      </c>
      <c r="J64" s="271"/>
      <c r="K64" s="272">
        <f t="shared" si="1"/>
        <v>2000.009</v>
      </c>
      <c r="L64" s="271"/>
      <c r="M64" s="277"/>
    </row>
    <row r="65" spans="1:13" s="274" customFormat="1" ht="17.399999999999999" customHeight="1" x14ac:dyDescent="0.3">
      <c r="A65" s="271" t="s">
        <v>96</v>
      </c>
      <c r="B65" s="271" t="s">
        <v>71</v>
      </c>
      <c r="C65" s="282">
        <v>1</v>
      </c>
      <c r="D65" s="283">
        <v>3678</v>
      </c>
      <c r="E65" s="271" t="s">
        <v>106</v>
      </c>
      <c r="F65" s="271"/>
      <c r="G65" s="271">
        <v>16942.14</v>
      </c>
      <c r="H65" s="271"/>
      <c r="I65" s="271">
        <f t="shared" si="0"/>
        <v>3557.8493999999996</v>
      </c>
      <c r="J65" s="271"/>
      <c r="K65" s="272">
        <f t="shared" si="1"/>
        <v>20499.989399999999</v>
      </c>
      <c r="L65" s="271"/>
      <c r="M65" s="277"/>
    </row>
    <row r="66" spans="1:13" s="274" customFormat="1" ht="17.399999999999999" customHeight="1" x14ac:dyDescent="0.3">
      <c r="A66" s="271" t="s">
        <v>97</v>
      </c>
      <c r="B66" s="271" t="s">
        <v>71</v>
      </c>
      <c r="C66" s="282">
        <v>1</v>
      </c>
      <c r="D66" s="283">
        <v>3679</v>
      </c>
      <c r="E66" s="271" t="s">
        <v>106</v>
      </c>
      <c r="F66" s="271"/>
      <c r="G66" s="271">
        <v>12562</v>
      </c>
      <c r="H66" s="271"/>
      <c r="I66" s="271">
        <f t="shared" si="0"/>
        <v>2638.02</v>
      </c>
      <c r="J66" s="271"/>
      <c r="K66" s="272">
        <f t="shared" si="1"/>
        <v>15200.02</v>
      </c>
      <c r="L66" s="271"/>
      <c r="M66" s="277"/>
    </row>
    <row r="67" spans="1:13" s="274" customFormat="1" ht="17.399999999999999" customHeight="1" x14ac:dyDescent="0.3">
      <c r="A67" s="271" t="s">
        <v>97</v>
      </c>
      <c r="B67" s="271" t="s">
        <v>71</v>
      </c>
      <c r="C67" s="282">
        <v>1</v>
      </c>
      <c r="D67" s="283">
        <v>3680</v>
      </c>
      <c r="E67" s="271" t="s">
        <v>106</v>
      </c>
      <c r="F67" s="271"/>
      <c r="G67" s="271">
        <v>10413.24</v>
      </c>
      <c r="H67" s="271"/>
      <c r="I67" s="271">
        <f t="shared" si="0"/>
        <v>2186.7804000000001</v>
      </c>
      <c r="J67" s="271"/>
      <c r="K67" s="272">
        <f t="shared" si="1"/>
        <v>12600.020399999999</v>
      </c>
      <c r="L67" s="271"/>
      <c r="M67" s="277"/>
    </row>
    <row r="68" spans="1:13" s="274" customFormat="1" ht="17.399999999999999" customHeight="1" x14ac:dyDescent="0.3">
      <c r="A68" s="271" t="s">
        <v>97</v>
      </c>
      <c r="B68" s="271" t="s">
        <v>71</v>
      </c>
      <c r="C68" s="282">
        <v>1</v>
      </c>
      <c r="D68" s="283">
        <v>3681</v>
      </c>
      <c r="E68" s="271" t="s">
        <v>106</v>
      </c>
      <c r="F68" s="271"/>
      <c r="G68" s="271">
        <v>26859.52</v>
      </c>
      <c r="H68" s="271"/>
      <c r="I68" s="271">
        <f t="shared" si="0"/>
        <v>5640.4992000000002</v>
      </c>
      <c r="J68" s="271"/>
      <c r="K68" s="272">
        <f t="shared" si="1"/>
        <v>32500.019200000002</v>
      </c>
      <c r="L68" s="271"/>
      <c r="M68" s="277"/>
    </row>
    <row r="69" spans="1:13" s="274" customFormat="1" ht="17.399999999999999" customHeight="1" x14ac:dyDescent="0.3">
      <c r="A69" s="271" t="s">
        <v>98</v>
      </c>
      <c r="B69" s="271" t="s">
        <v>71</v>
      </c>
      <c r="C69" s="282">
        <v>1</v>
      </c>
      <c r="D69" s="283">
        <v>3682</v>
      </c>
      <c r="E69" s="271" t="s">
        <v>106</v>
      </c>
      <c r="F69" s="271"/>
      <c r="G69" s="271">
        <v>4132.24</v>
      </c>
      <c r="H69" s="271"/>
      <c r="I69" s="271">
        <f t="shared" si="0"/>
        <v>867.77039999999988</v>
      </c>
      <c r="J69" s="271"/>
      <c r="K69" s="272">
        <f t="shared" si="1"/>
        <v>5000.0103999999992</v>
      </c>
      <c r="L69" s="271"/>
      <c r="M69" s="277"/>
    </row>
    <row r="70" spans="1:13" s="274" customFormat="1" ht="17.399999999999999" customHeight="1" x14ac:dyDescent="0.3">
      <c r="A70" s="271" t="s">
        <v>99</v>
      </c>
      <c r="B70" s="271" t="s">
        <v>71</v>
      </c>
      <c r="C70" s="282">
        <v>1</v>
      </c>
      <c r="D70" s="283">
        <v>3683</v>
      </c>
      <c r="E70" s="271" t="s">
        <v>106</v>
      </c>
      <c r="F70" s="271"/>
      <c r="G70" s="271">
        <v>2892.57</v>
      </c>
      <c r="H70" s="271"/>
      <c r="I70" s="271">
        <f t="shared" si="0"/>
        <v>607.43970000000002</v>
      </c>
      <c r="J70" s="271"/>
      <c r="K70" s="272">
        <f t="shared" si="1"/>
        <v>3500.0097000000001</v>
      </c>
      <c r="L70" s="271"/>
      <c r="M70" s="277"/>
    </row>
    <row r="71" spans="1:13" s="274" customFormat="1" ht="17.399999999999999" customHeight="1" x14ac:dyDescent="0.3">
      <c r="A71" s="271" t="s">
        <v>99</v>
      </c>
      <c r="B71" s="271" t="s">
        <v>71</v>
      </c>
      <c r="C71" s="282">
        <v>1</v>
      </c>
      <c r="D71" s="283">
        <v>3684</v>
      </c>
      <c r="E71" s="271" t="s">
        <v>106</v>
      </c>
      <c r="F71" s="271"/>
      <c r="G71" s="271">
        <v>4958.67</v>
      </c>
      <c r="H71" s="271"/>
      <c r="I71" s="271">
        <f t="shared" si="0"/>
        <v>1041.3207</v>
      </c>
      <c r="J71" s="271"/>
      <c r="K71" s="272">
        <f t="shared" si="1"/>
        <v>5999.9907000000003</v>
      </c>
      <c r="L71" s="271"/>
      <c r="M71" s="277"/>
    </row>
    <row r="72" spans="1:13" s="274" customFormat="1" ht="17.399999999999999" customHeight="1" x14ac:dyDescent="0.3">
      <c r="A72" s="271" t="s">
        <v>99</v>
      </c>
      <c r="B72" s="271" t="s">
        <v>71</v>
      </c>
      <c r="C72" s="282">
        <v>1</v>
      </c>
      <c r="D72" s="283">
        <v>3685</v>
      </c>
      <c r="E72" s="271" t="s">
        <v>106</v>
      </c>
      <c r="F72" s="271"/>
      <c r="G72" s="271">
        <v>7851.24</v>
      </c>
      <c r="H72" s="271"/>
      <c r="I72" s="271">
        <f t="shared" ref="I72:I89" si="2">G72*(21/100)</f>
        <v>1648.7603999999999</v>
      </c>
      <c r="J72" s="271"/>
      <c r="K72" s="272">
        <f t="shared" ref="K72:K89" si="3">SUM(G72:J72)</f>
        <v>9500.000399999999</v>
      </c>
      <c r="L72" s="271"/>
      <c r="M72" s="277"/>
    </row>
    <row r="73" spans="1:13" s="279" customFormat="1" ht="17.399999999999999" customHeight="1" x14ac:dyDescent="0.3">
      <c r="A73" s="271" t="s">
        <v>100</v>
      </c>
      <c r="B73" s="271" t="s">
        <v>71</v>
      </c>
      <c r="C73" s="282">
        <v>1</v>
      </c>
      <c r="D73" s="283">
        <v>3686</v>
      </c>
      <c r="E73" s="271" t="s">
        <v>105</v>
      </c>
      <c r="F73" s="271">
        <v>30678707909</v>
      </c>
      <c r="G73" s="271">
        <v>247933.9</v>
      </c>
      <c r="H73" s="271"/>
      <c r="I73" s="271">
        <f t="shared" si="2"/>
        <v>52066.118999999999</v>
      </c>
      <c r="J73" s="271"/>
      <c r="K73" s="272">
        <f t="shared" si="3"/>
        <v>300000.01899999997</v>
      </c>
      <c r="L73" s="271"/>
      <c r="M73" s="278"/>
    </row>
    <row r="74" spans="1:13" s="274" customFormat="1" ht="17.399999999999999" customHeight="1" x14ac:dyDescent="0.3">
      <c r="A74" s="271" t="s">
        <v>100</v>
      </c>
      <c r="B74" s="271" t="s">
        <v>71</v>
      </c>
      <c r="C74" s="282">
        <v>1</v>
      </c>
      <c r="D74" s="283">
        <v>3687</v>
      </c>
      <c r="E74" s="271" t="s">
        <v>106</v>
      </c>
      <c r="F74" s="271"/>
      <c r="G74" s="271">
        <v>20661.14</v>
      </c>
      <c r="H74" s="271"/>
      <c r="I74" s="271">
        <f t="shared" si="2"/>
        <v>4338.8393999999998</v>
      </c>
      <c r="J74" s="271"/>
      <c r="K74" s="272">
        <f t="shared" si="3"/>
        <v>24999.9794</v>
      </c>
      <c r="L74" s="271"/>
      <c r="M74" s="277"/>
    </row>
    <row r="75" spans="1:13" s="274" customFormat="1" ht="17.399999999999999" customHeight="1" x14ac:dyDescent="0.3">
      <c r="A75" s="271" t="s">
        <v>100</v>
      </c>
      <c r="B75" s="271" t="s">
        <v>71</v>
      </c>
      <c r="C75" s="282">
        <v>1</v>
      </c>
      <c r="D75" s="283">
        <v>3688</v>
      </c>
      <c r="E75" s="271" t="s">
        <v>106</v>
      </c>
      <c r="F75" s="271"/>
      <c r="G75" s="271">
        <v>7933.9</v>
      </c>
      <c r="H75" s="271"/>
      <c r="I75" s="271">
        <f t="shared" si="2"/>
        <v>1666.1189999999999</v>
      </c>
      <c r="J75" s="271"/>
      <c r="K75" s="272">
        <f t="shared" si="3"/>
        <v>9600.0190000000002</v>
      </c>
      <c r="L75" s="271"/>
      <c r="M75" s="277"/>
    </row>
    <row r="76" spans="1:13" s="274" customFormat="1" ht="17.399999999999999" customHeight="1" x14ac:dyDescent="0.3">
      <c r="A76" s="271" t="s">
        <v>101</v>
      </c>
      <c r="B76" s="271" t="s">
        <v>71</v>
      </c>
      <c r="C76" s="282">
        <v>1</v>
      </c>
      <c r="D76" s="283">
        <v>3689</v>
      </c>
      <c r="E76" s="271" t="s">
        <v>106</v>
      </c>
      <c r="F76" s="271"/>
      <c r="G76" s="271">
        <v>7933.9</v>
      </c>
      <c r="H76" s="271"/>
      <c r="I76" s="271">
        <f t="shared" si="2"/>
        <v>1666.1189999999999</v>
      </c>
      <c r="J76" s="271"/>
      <c r="K76" s="272">
        <f t="shared" si="3"/>
        <v>9600.0190000000002</v>
      </c>
      <c r="L76" s="271"/>
      <c r="M76" s="277"/>
    </row>
    <row r="77" spans="1:13" s="274" customFormat="1" ht="17.399999999999999" customHeight="1" x14ac:dyDescent="0.3">
      <c r="A77" s="271" t="s">
        <v>101</v>
      </c>
      <c r="B77" s="271" t="s">
        <v>71</v>
      </c>
      <c r="C77" s="282">
        <v>1</v>
      </c>
      <c r="D77" s="283">
        <v>3690</v>
      </c>
      <c r="E77" s="271" t="s">
        <v>106</v>
      </c>
      <c r="F77" s="271"/>
      <c r="G77" s="271">
        <v>23388.43</v>
      </c>
      <c r="H77" s="271"/>
      <c r="I77" s="271">
        <f t="shared" si="2"/>
        <v>4911.5703000000003</v>
      </c>
      <c r="J77" s="271"/>
      <c r="K77" s="272">
        <f t="shared" si="3"/>
        <v>28300.0003</v>
      </c>
      <c r="L77" s="271"/>
      <c r="M77" s="277"/>
    </row>
    <row r="78" spans="1:13" s="274" customFormat="1" ht="17.399999999999999" customHeight="1" x14ac:dyDescent="0.3">
      <c r="A78" s="271" t="s">
        <v>101</v>
      </c>
      <c r="B78" s="271" t="s">
        <v>71</v>
      </c>
      <c r="C78" s="282">
        <v>1</v>
      </c>
      <c r="D78" s="283">
        <v>3691</v>
      </c>
      <c r="E78" s="271" t="s">
        <v>106</v>
      </c>
      <c r="F78" s="271"/>
      <c r="G78" s="271">
        <v>9256.19</v>
      </c>
      <c r="H78" s="271"/>
      <c r="I78" s="271">
        <f t="shared" si="2"/>
        <v>1943.7999</v>
      </c>
      <c r="J78" s="271"/>
      <c r="K78" s="272">
        <f t="shared" si="3"/>
        <v>11199.9899</v>
      </c>
      <c r="L78" s="271"/>
      <c r="M78" s="277"/>
    </row>
    <row r="79" spans="1:13" s="274" customFormat="1" ht="17.399999999999999" customHeight="1" x14ac:dyDescent="0.3">
      <c r="A79" s="271" t="s">
        <v>102</v>
      </c>
      <c r="B79" s="271" t="s">
        <v>71</v>
      </c>
      <c r="C79" s="282">
        <v>1</v>
      </c>
      <c r="D79" s="283">
        <v>3692</v>
      </c>
      <c r="E79" s="271" t="s">
        <v>106</v>
      </c>
      <c r="F79" s="271"/>
      <c r="G79" s="271">
        <v>7190.1</v>
      </c>
      <c r="H79" s="271"/>
      <c r="I79" s="271">
        <f t="shared" si="2"/>
        <v>1509.921</v>
      </c>
      <c r="J79" s="271"/>
      <c r="K79" s="272">
        <f t="shared" si="3"/>
        <v>8700.0210000000006</v>
      </c>
      <c r="L79" s="271"/>
      <c r="M79" s="277"/>
    </row>
    <row r="80" spans="1:13" s="274" customFormat="1" ht="17.399999999999999" customHeight="1" x14ac:dyDescent="0.3">
      <c r="A80" s="271" t="s">
        <v>102</v>
      </c>
      <c r="B80" s="271" t="s">
        <v>71</v>
      </c>
      <c r="C80" s="282">
        <v>1</v>
      </c>
      <c r="D80" s="283">
        <v>3693</v>
      </c>
      <c r="E80" s="271" t="s">
        <v>106</v>
      </c>
      <c r="F80" s="271"/>
      <c r="G80" s="271">
        <v>7933.9</v>
      </c>
      <c r="H80" s="271"/>
      <c r="I80" s="271">
        <f t="shared" si="2"/>
        <v>1666.1189999999999</v>
      </c>
      <c r="J80" s="271"/>
      <c r="K80" s="272">
        <f t="shared" si="3"/>
        <v>9600.0190000000002</v>
      </c>
      <c r="L80" s="271"/>
      <c r="M80" s="277"/>
    </row>
    <row r="81" spans="1:86" s="274" customFormat="1" ht="17.399999999999999" customHeight="1" x14ac:dyDescent="0.3">
      <c r="A81" s="271" t="s">
        <v>103</v>
      </c>
      <c r="B81" s="271" t="s">
        <v>71</v>
      </c>
      <c r="C81" s="282">
        <v>1</v>
      </c>
      <c r="D81" s="283">
        <v>3694</v>
      </c>
      <c r="E81" s="271" t="s">
        <v>106</v>
      </c>
      <c r="F81" s="271"/>
      <c r="G81" s="271">
        <v>7024.81</v>
      </c>
      <c r="H81" s="271"/>
      <c r="I81" s="271">
        <f t="shared" si="2"/>
        <v>1475.2101</v>
      </c>
      <c r="J81" s="271"/>
      <c r="K81" s="272">
        <f t="shared" si="3"/>
        <v>8500.0200999999997</v>
      </c>
      <c r="L81" s="271"/>
      <c r="M81" s="277"/>
    </row>
    <row r="82" spans="1:86" s="274" customFormat="1" ht="17.399999999999999" customHeight="1" x14ac:dyDescent="0.3">
      <c r="A82" s="271" t="s">
        <v>103</v>
      </c>
      <c r="B82" s="271" t="s">
        <v>71</v>
      </c>
      <c r="C82" s="282">
        <v>1</v>
      </c>
      <c r="D82" s="283">
        <v>3695</v>
      </c>
      <c r="E82" s="271" t="s">
        <v>106</v>
      </c>
      <c r="F82" s="271"/>
      <c r="G82" s="271">
        <v>7933.9</v>
      </c>
      <c r="H82" s="271"/>
      <c r="I82" s="271">
        <f t="shared" si="2"/>
        <v>1666.1189999999999</v>
      </c>
      <c r="J82" s="271"/>
      <c r="K82" s="272">
        <f t="shared" si="3"/>
        <v>9600.0190000000002</v>
      </c>
      <c r="L82" s="271"/>
      <c r="M82" s="277"/>
    </row>
    <row r="83" spans="1:86" s="279" customFormat="1" ht="17.399999999999999" customHeight="1" x14ac:dyDescent="0.3">
      <c r="A83" s="271" t="s">
        <v>103</v>
      </c>
      <c r="B83" s="271" t="s">
        <v>71</v>
      </c>
      <c r="C83" s="282">
        <v>1</v>
      </c>
      <c r="D83" s="283">
        <v>3696</v>
      </c>
      <c r="E83" s="271" t="s">
        <v>105</v>
      </c>
      <c r="F83" s="271">
        <v>30678707909</v>
      </c>
      <c r="G83" s="271">
        <v>247933.9</v>
      </c>
      <c r="H83" s="271"/>
      <c r="I83" s="271">
        <f t="shared" si="2"/>
        <v>52066.118999999999</v>
      </c>
      <c r="J83" s="271"/>
      <c r="K83" s="272">
        <f t="shared" si="3"/>
        <v>300000.01899999997</v>
      </c>
      <c r="L83" s="271"/>
      <c r="M83" s="278"/>
    </row>
    <row r="84" spans="1:86" s="274" customFormat="1" ht="17.399999999999999" customHeight="1" x14ac:dyDescent="0.3">
      <c r="A84" s="271" t="s">
        <v>104</v>
      </c>
      <c r="B84" s="271" t="s">
        <v>71</v>
      </c>
      <c r="C84" s="282">
        <v>1</v>
      </c>
      <c r="D84" s="283">
        <v>3697</v>
      </c>
      <c r="E84" s="271" t="s">
        <v>106</v>
      </c>
      <c r="F84" s="271"/>
      <c r="G84" s="271">
        <v>12562</v>
      </c>
      <c r="H84" s="271"/>
      <c r="I84" s="271">
        <f t="shared" si="2"/>
        <v>2638.02</v>
      </c>
      <c r="J84" s="271"/>
      <c r="K84" s="272">
        <f t="shared" si="3"/>
        <v>15200.02</v>
      </c>
      <c r="L84" s="271"/>
      <c r="M84" s="277"/>
    </row>
    <row r="85" spans="1:86" s="274" customFormat="1" ht="17.399999999999999" customHeight="1" x14ac:dyDescent="0.3">
      <c r="A85" s="271" t="s">
        <v>104</v>
      </c>
      <c r="B85" s="271" t="s">
        <v>71</v>
      </c>
      <c r="C85" s="282">
        <v>1</v>
      </c>
      <c r="D85" s="283">
        <v>3698</v>
      </c>
      <c r="E85" s="271" t="s">
        <v>106</v>
      </c>
      <c r="F85" s="271"/>
      <c r="G85" s="271">
        <v>10165.290000000001</v>
      </c>
      <c r="H85" s="271"/>
      <c r="I85" s="271">
        <f t="shared" si="2"/>
        <v>2134.7109</v>
      </c>
      <c r="J85" s="271"/>
      <c r="K85" s="272">
        <f t="shared" si="3"/>
        <v>12300.000900000001</v>
      </c>
      <c r="L85" s="271"/>
      <c r="M85" s="277"/>
    </row>
    <row r="86" spans="1:86" s="274" customFormat="1" ht="17.399999999999999" customHeight="1" x14ac:dyDescent="0.3">
      <c r="A86" s="271" t="s">
        <v>104</v>
      </c>
      <c r="B86" s="271" t="s">
        <v>71</v>
      </c>
      <c r="C86" s="282">
        <v>1</v>
      </c>
      <c r="D86" s="283">
        <v>3699</v>
      </c>
      <c r="E86" s="271" t="s">
        <v>106</v>
      </c>
      <c r="F86" s="271"/>
      <c r="G86" s="271">
        <v>9917.33</v>
      </c>
      <c r="H86" s="271"/>
      <c r="I86" s="271">
        <f t="shared" si="2"/>
        <v>2082.6392999999998</v>
      </c>
      <c r="J86" s="271"/>
      <c r="K86" s="272">
        <f t="shared" si="3"/>
        <v>11999.969300000001</v>
      </c>
      <c r="L86" s="271"/>
      <c r="M86" s="277"/>
    </row>
    <row r="87" spans="1:86" s="274" customFormat="1" ht="17.399999999999999" customHeight="1" x14ac:dyDescent="0.3">
      <c r="A87" s="271" t="s">
        <v>104</v>
      </c>
      <c r="B87" s="271" t="s">
        <v>71</v>
      </c>
      <c r="C87" s="282">
        <v>1</v>
      </c>
      <c r="D87" s="283">
        <v>3700</v>
      </c>
      <c r="E87" s="271" t="s">
        <v>106</v>
      </c>
      <c r="F87" s="271"/>
      <c r="G87" s="271">
        <v>10165.290000000001</v>
      </c>
      <c r="H87" s="271"/>
      <c r="I87" s="271">
        <f t="shared" si="2"/>
        <v>2134.7109</v>
      </c>
      <c r="J87" s="271"/>
      <c r="K87" s="272">
        <f t="shared" si="3"/>
        <v>12300.000900000001</v>
      </c>
      <c r="L87" s="271"/>
      <c r="M87" s="277"/>
    </row>
    <row r="88" spans="1:86" s="276" customFormat="1" ht="17.399999999999999" customHeight="1" x14ac:dyDescent="0.3">
      <c r="A88" s="271"/>
      <c r="B88" s="271"/>
      <c r="C88" s="282"/>
      <c r="D88" s="283"/>
      <c r="E88" s="271"/>
      <c r="F88" s="271"/>
      <c r="G88" s="271"/>
      <c r="H88" s="271"/>
      <c r="I88" s="271">
        <f t="shared" si="2"/>
        <v>0</v>
      </c>
      <c r="J88" s="271"/>
      <c r="K88" s="272">
        <f t="shared" si="3"/>
        <v>0</v>
      </c>
      <c r="L88" s="271"/>
      <c r="M88" s="275"/>
    </row>
    <row r="89" spans="1:86" s="165" customFormat="1" ht="17.399999999999999" customHeight="1" x14ac:dyDescent="0.3">
      <c r="A89" s="271"/>
      <c r="B89" s="271"/>
      <c r="C89" s="282"/>
      <c r="D89" s="283"/>
      <c r="E89" s="271"/>
      <c r="F89" s="271"/>
      <c r="G89" s="271"/>
      <c r="H89" s="271"/>
      <c r="I89" s="271">
        <f t="shared" si="2"/>
        <v>0</v>
      </c>
      <c r="J89" s="271"/>
      <c r="K89" s="272">
        <f t="shared" si="3"/>
        <v>0</v>
      </c>
      <c r="L89" s="271"/>
      <c r="M89" s="241"/>
    </row>
    <row r="90" spans="1:86" s="164" customFormat="1" x14ac:dyDescent="0.3">
      <c r="A90" s="292"/>
      <c r="B90" s="284"/>
      <c r="C90" s="285"/>
      <c r="D90" s="286"/>
      <c r="E90" s="280"/>
      <c r="F90" s="281"/>
      <c r="G90" s="281"/>
      <c r="H90" s="287"/>
      <c r="I90" s="287"/>
      <c r="J90" s="284"/>
      <c r="K90" s="287"/>
      <c r="L90" s="287"/>
      <c r="M90" s="161"/>
      <c r="N90" s="162"/>
      <c r="O90" s="162"/>
      <c r="P90" s="162"/>
      <c r="Q90" s="16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  <c r="AD90" s="162"/>
      <c r="AE90" s="162"/>
      <c r="AF90" s="162"/>
      <c r="AG90" s="162"/>
      <c r="AH90" s="162"/>
      <c r="AI90" s="162"/>
      <c r="AJ90" s="162"/>
      <c r="AK90" s="162"/>
      <c r="AL90" s="162"/>
      <c r="AM90" s="162"/>
      <c r="AN90" s="162"/>
      <c r="AO90" s="162"/>
      <c r="AP90" s="162"/>
      <c r="AQ90" s="162"/>
      <c r="AR90" s="162"/>
      <c r="AS90" s="162"/>
      <c r="AT90" s="162"/>
      <c r="AU90" s="162"/>
      <c r="AV90" s="162"/>
      <c r="AW90" s="162"/>
      <c r="AX90" s="162"/>
      <c r="AY90" s="162"/>
      <c r="AZ90" s="162"/>
      <c r="BA90" s="162"/>
      <c r="BB90" s="162"/>
      <c r="BC90" s="162"/>
      <c r="BD90" s="162"/>
      <c r="BE90" s="162"/>
      <c r="BF90" s="162"/>
      <c r="BG90" s="162"/>
      <c r="BH90" s="162"/>
      <c r="BI90" s="162"/>
      <c r="BJ90" s="162"/>
      <c r="BK90" s="162"/>
      <c r="BL90" s="162"/>
      <c r="BM90" s="162"/>
      <c r="BN90" s="162"/>
      <c r="BO90" s="162"/>
      <c r="BP90" s="162"/>
      <c r="BQ90" s="162"/>
      <c r="BR90" s="162"/>
      <c r="BS90" s="162"/>
      <c r="BT90" s="162"/>
      <c r="BU90" s="162"/>
      <c r="BV90" s="162"/>
      <c r="BW90" s="162"/>
      <c r="BX90" s="162"/>
      <c r="BY90" s="162"/>
      <c r="BZ90" s="162"/>
      <c r="CA90" s="162"/>
      <c r="CB90" s="162"/>
      <c r="CC90" s="162"/>
      <c r="CD90" s="162"/>
      <c r="CE90" s="162"/>
      <c r="CF90" s="162"/>
      <c r="CG90" s="162"/>
      <c r="CH90" s="162"/>
    </row>
    <row r="91" spans="1:86" s="164" customFormat="1" x14ac:dyDescent="0.3">
      <c r="A91" s="293"/>
      <c r="B91" s="284"/>
      <c r="C91" s="285"/>
      <c r="D91" s="286"/>
      <c r="E91" s="288"/>
      <c r="F91" s="287"/>
      <c r="G91" s="287"/>
      <c r="H91" s="287"/>
      <c r="I91" s="287"/>
      <c r="J91" s="284"/>
      <c r="K91" s="287"/>
      <c r="L91" s="287"/>
      <c r="M91" s="161"/>
      <c r="N91" s="162"/>
      <c r="O91" s="162"/>
      <c r="P91" s="162"/>
      <c r="Q91" s="16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  <c r="AD91" s="162"/>
      <c r="AE91" s="162"/>
      <c r="AF91" s="162"/>
      <c r="AG91" s="162"/>
      <c r="AH91" s="162"/>
      <c r="AI91" s="162"/>
      <c r="AJ91" s="162"/>
      <c r="AK91" s="162"/>
      <c r="AL91" s="162"/>
      <c r="AM91" s="162"/>
      <c r="AN91" s="162"/>
      <c r="AO91" s="162"/>
      <c r="AP91" s="162"/>
      <c r="AQ91" s="162"/>
      <c r="AR91" s="162"/>
      <c r="AS91" s="162"/>
      <c r="AT91" s="162"/>
      <c r="AU91" s="162"/>
      <c r="AV91" s="162"/>
      <c r="AW91" s="162"/>
      <c r="AX91" s="162"/>
      <c r="AY91" s="162"/>
      <c r="AZ91" s="162"/>
      <c r="BA91" s="162"/>
      <c r="BB91" s="162"/>
      <c r="BC91" s="162"/>
      <c r="BD91" s="162"/>
      <c r="BE91" s="162"/>
      <c r="BF91" s="162"/>
      <c r="BG91" s="162"/>
      <c r="BH91" s="162"/>
      <c r="BI91" s="162"/>
      <c r="BJ91" s="162"/>
      <c r="BK91" s="162"/>
      <c r="BL91" s="162"/>
      <c r="BM91" s="162"/>
      <c r="BN91" s="162"/>
      <c r="BO91" s="162"/>
      <c r="BP91" s="162"/>
      <c r="BQ91" s="162"/>
      <c r="BR91" s="162"/>
      <c r="BS91" s="162"/>
      <c r="BT91" s="162"/>
      <c r="BU91" s="162"/>
      <c r="BV91" s="162"/>
      <c r="BW91" s="162"/>
      <c r="BX91" s="162"/>
      <c r="BY91" s="162"/>
      <c r="BZ91" s="162"/>
      <c r="CA91" s="162"/>
      <c r="CB91" s="162"/>
      <c r="CC91" s="162"/>
      <c r="CD91" s="162"/>
      <c r="CE91" s="162"/>
      <c r="CF91" s="162"/>
      <c r="CG91" s="162"/>
      <c r="CH91" s="162"/>
    </row>
    <row r="92" spans="1:86" s="163" customFormat="1" x14ac:dyDescent="0.3">
      <c r="A92" s="294" t="s">
        <v>17</v>
      </c>
      <c r="B92" s="289"/>
      <c r="C92" s="289"/>
      <c r="D92" s="289"/>
      <c r="E92" s="291" t="s">
        <v>18</v>
      </c>
      <c r="F92" s="287"/>
      <c r="G92" s="295">
        <f>SUM(G8:G91)</f>
        <v>3546091.1999999988</v>
      </c>
      <c r="H92" s="295">
        <f t="shared" ref="H92:L92" si="4">SUM(H8:H91)</f>
        <v>0</v>
      </c>
      <c r="I92" s="295">
        <f t="shared" si="4"/>
        <v>744679.15199999977</v>
      </c>
      <c r="J92" s="295">
        <f t="shared" si="4"/>
        <v>0</v>
      </c>
      <c r="K92" s="295">
        <f t="shared" si="4"/>
        <v>4290770.351999999</v>
      </c>
      <c r="L92" s="295">
        <f t="shared" si="4"/>
        <v>0</v>
      </c>
      <c r="M92" s="166"/>
      <c r="N92" s="162"/>
      <c r="O92" s="162"/>
      <c r="P92" s="162"/>
      <c r="Q92" s="16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  <c r="AD92" s="162"/>
      <c r="AE92" s="162"/>
      <c r="AF92" s="162"/>
      <c r="AG92" s="162"/>
      <c r="AH92" s="162"/>
      <c r="AI92" s="162"/>
      <c r="AJ92" s="162"/>
      <c r="AK92" s="162"/>
      <c r="AL92" s="162"/>
      <c r="AM92" s="162"/>
      <c r="AN92" s="162"/>
      <c r="AO92" s="162"/>
      <c r="AP92" s="162"/>
      <c r="AQ92" s="162"/>
      <c r="AR92" s="162"/>
      <c r="AS92" s="162"/>
      <c r="AT92" s="162"/>
      <c r="AU92" s="162"/>
      <c r="AV92" s="162"/>
      <c r="AW92" s="162"/>
      <c r="AX92" s="162"/>
      <c r="AY92" s="162"/>
      <c r="AZ92" s="162"/>
      <c r="BA92" s="162"/>
      <c r="BB92" s="162"/>
      <c r="BC92" s="162"/>
      <c r="BD92" s="162"/>
      <c r="BE92" s="162"/>
      <c r="BF92" s="162"/>
      <c r="BG92" s="162"/>
      <c r="BH92" s="162"/>
      <c r="BI92" s="162"/>
      <c r="BJ92" s="162"/>
      <c r="BK92" s="162"/>
      <c r="BL92" s="162"/>
      <c r="BM92" s="162"/>
      <c r="BN92" s="162"/>
      <c r="BO92" s="162"/>
      <c r="BP92" s="162"/>
      <c r="BQ92" s="162"/>
      <c r="BR92" s="162"/>
      <c r="BS92" s="162"/>
      <c r="BT92" s="162"/>
      <c r="BU92" s="162"/>
      <c r="BV92" s="162"/>
      <c r="BW92" s="162"/>
      <c r="BX92" s="162"/>
      <c r="BY92" s="162"/>
      <c r="BZ92" s="162"/>
      <c r="CA92" s="162"/>
      <c r="CB92" s="162"/>
      <c r="CC92" s="162"/>
      <c r="CD92" s="162"/>
      <c r="CE92" s="162"/>
      <c r="CF92" s="162"/>
      <c r="CG92" s="162"/>
      <c r="CH92" s="162"/>
    </row>
    <row r="93" spans="1:86" ht="15" thickBot="1" x14ac:dyDescent="0.35">
      <c r="A93" s="17"/>
      <c r="B93" s="18"/>
      <c r="C93" s="18"/>
      <c r="D93" s="18"/>
      <c r="E93" s="178"/>
      <c r="F93" s="19"/>
      <c r="G93" s="20"/>
      <c r="H93" s="20"/>
      <c r="I93" s="20"/>
      <c r="J93" s="20"/>
      <c r="K93" s="20"/>
      <c r="L93" s="20"/>
      <c r="M93" s="21"/>
    </row>
    <row r="94" spans="1:86" ht="15" thickBot="1" x14ac:dyDescent="0.35">
      <c r="A94" s="22" t="s">
        <v>19</v>
      </c>
      <c r="B94" s="23"/>
      <c r="C94" s="24"/>
      <c r="D94" s="25"/>
      <c r="E94" s="179"/>
      <c r="F94" s="26"/>
      <c r="G94" s="27"/>
      <c r="H94" s="27"/>
      <c r="I94" s="27"/>
      <c r="J94" s="27"/>
      <c r="K94" s="27"/>
      <c r="L94" s="28"/>
      <c r="M94" s="21"/>
    </row>
    <row r="95" spans="1:86" ht="15" thickBot="1" x14ac:dyDescent="0.35">
      <c r="A95" s="29"/>
      <c r="B95" s="6"/>
      <c r="C95" s="7"/>
      <c r="D95" s="8"/>
      <c r="E95" s="180"/>
      <c r="F95" s="30"/>
      <c r="G95" s="31"/>
      <c r="H95" s="32"/>
      <c r="I95" s="10"/>
      <c r="J95" s="33"/>
      <c r="K95" s="10"/>
      <c r="L95" s="34"/>
      <c r="M95" s="21"/>
    </row>
    <row r="96" spans="1:86" x14ac:dyDescent="0.3">
      <c r="A96" s="35"/>
      <c r="B96" s="5"/>
      <c r="C96" s="7"/>
      <c r="D96" s="8"/>
      <c r="E96" s="181"/>
      <c r="F96" s="30"/>
      <c r="G96" s="10"/>
      <c r="H96" s="12"/>
      <c r="I96" s="10"/>
      <c r="J96" s="11"/>
      <c r="K96" s="10"/>
      <c r="L96" s="34"/>
      <c r="M96" s="21"/>
    </row>
    <row r="97" spans="1:86" s="41" customFormat="1" ht="15" thickBot="1" x14ac:dyDescent="0.35">
      <c r="A97" s="36"/>
      <c r="B97" s="37"/>
      <c r="C97" s="37"/>
      <c r="D97" s="37"/>
      <c r="E97" s="182"/>
      <c r="F97" s="38"/>
      <c r="G97" s="39">
        <f>+K97/1.21</f>
        <v>0</v>
      </c>
      <c r="H97" s="39"/>
      <c r="I97" s="39">
        <f>+G97*0.21</f>
        <v>0</v>
      </c>
      <c r="J97" s="39"/>
      <c r="K97" s="39"/>
      <c r="L97" s="40"/>
      <c r="M97" s="21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  <c r="AQ97" s="157"/>
      <c r="AR97" s="157"/>
      <c r="AS97" s="157"/>
      <c r="AT97" s="157"/>
      <c r="AU97" s="157"/>
      <c r="AV97" s="157"/>
      <c r="AW97" s="157"/>
      <c r="AX97" s="157"/>
      <c r="AY97" s="157"/>
      <c r="AZ97" s="157"/>
      <c r="BA97" s="157"/>
      <c r="BB97" s="157"/>
      <c r="BC97" s="157"/>
      <c r="BD97" s="157"/>
      <c r="BE97" s="157"/>
      <c r="BF97" s="157"/>
      <c r="BG97" s="157"/>
      <c r="BH97" s="157"/>
      <c r="BI97" s="157"/>
      <c r="BJ97" s="157"/>
      <c r="BK97" s="157"/>
      <c r="BL97" s="157"/>
      <c r="BM97" s="157"/>
      <c r="BN97" s="157"/>
      <c r="BO97" s="157"/>
      <c r="BP97" s="157"/>
      <c r="BQ97" s="157"/>
      <c r="BR97" s="157"/>
      <c r="BS97" s="157"/>
      <c r="BT97" s="157"/>
      <c r="BU97" s="157"/>
      <c r="BV97" s="157"/>
      <c r="BW97" s="157"/>
      <c r="BX97" s="157"/>
      <c r="BY97" s="157"/>
      <c r="BZ97" s="157"/>
      <c r="CA97" s="157"/>
      <c r="CB97" s="157"/>
      <c r="CC97" s="157"/>
      <c r="CD97" s="157"/>
      <c r="CE97" s="157"/>
      <c r="CF97" s="157"/>
      <c r="CG97" s="157"/>
      <c r="CH97" s="157"/>
    </row>
    <row r="98" spans="1:86" ht="15" thickBot="1" x14ac:dyDescent="0.35">
      <c r="A98" s="14" t="s">
        <v>20</v>
      </c>
      <c r="B98" s="15"/>
      <c r="C98" s="15"/>
      <c r="D98" s="15"/>
      <c r="E98" s="183"/>
      <c r="F98" s="42"/>
      <c r="G98" s="16">
        <f>SUM(G95:G97)</f>
        <v>0</v>
      </c>
      <c r="H98" s="16">
        <f>SUM(H95:H97)</f>
        <v>0</v>
      </c>
      <c r="I98" s="16">
        <f>SUM(I95:I97)</f>
        <v>0</v>
      </c>
      <c r="J98" s="16">
        <f>SUM(J95:J97)</f>
        <v>0</v>
      </c>
      <c r="K98" s="16">
        <f>SUM(K95:K97)</f>
        <v>0</v>
      </c>
      <c r="L98" s="16"/>
      <c r="M98" s="21"/>
    </row>
    <row r="99" spans="1:86" x14ac:dyDescent="0.3">
      <c r="A99" s="43"/>
      <c r="B99" s="44"/>
      <c r="C99" s="44"/>
      <c r="D99" s="44"/>
      <c r="E99" s="184"/>
      <c r="F99" s="45"/>
      <c r="G99" s="46"/>
      <c r="H99" s="46"/>
      <c r="I99" s="46"/>
      <c r="J99" s="46"/>
      <c r="K99" s="47"/>
      <c r="L99" s="47"/>
      <c r="M99" s="21"/>
    </row>
    <row r="100" spans="1:86" ht="15" thickBot="1" x14ac:dyDescent="0.35">
      <c r="A100" s="43"/>
      <c r="B100" s="44"/>
      <c r="C100" s="44"/>
      <c r="D100" s="44"/>
      <c r="E100" s="184"/>
      <c r="F100" s="45"/>
      <c r="G100" s="46"/>
      <c r="H100" s="46"/>
      <c r="I100" s="46"/>
      <c r="J100" s="46"/>
      <c r="K100" s="47"/>
      <c r="L100" s="47"/>
      <c r="M100" s="21"/>
    </row>
    <row r="101" spans="1:86" ht="15" thickBot="1" x14ac:dyDescent="0.35">
      <c r="A101" s="48"/>
      <c r="B101" s="49"/>
      <c r="C101" s="49"/>
      <c r="D101" s="49"/>
      <c r="E101" s="179"/>
      <c r="F101" s="50" t="s">
        <v>21</v>
      </c>
      <c r="G101" s="51">
        <f>+G92+G98</f>
        <v>3546091.1999999988</v>
      </c>
      <c r="H101" s="51">
        <f>+H92+H98</f>
        <v>0</v>
      </c>
      <c r="I101" s="51">
        <f>+I92+I98</f>
        <v>744679.15199999977</v>
      </c>
      <c r="J101" s="51">
        <f>+J92+J98</f>
        <v>0</v>
      </c>
      <c r="K101" s="51">
        <f>+K92+K98</f>
        <v>4290770.351999999</v>
      </c>
      <c r="L101" s="51"/>
      <c r="M101" s="21"/>
    </row>
    <row r="102" spans="1:86" x14ac:dyDescent="0.3">
      <c r="A102" s="1"/>
      <c r="B102" s="1"/>
      <c r="C102" s="1"/>
      <c r="D102" s="1"/>
      <c r="E102" s="176"/>
      <c r="F102" s="2"/>
      <c r="G102" s="52"/>
      <c r="H102" s="52"/>
      <c r="I102" s="52"/>
      <c r="J102" s="52"/>
      <c r="K102" s="52"/>
      <c r="L102" s="52"/>
      <c r="M102" s="21"/>
    </row>
    <row r="103" spans="1:86" x14ac:dyDescent="0.3">
      <c r="A103" s="1"/>
      <c r="B103" s="1"/>
      <c r="C103" s="1"/>
      <c r="D103" s="1"/>
      <c r="E103" s="176"/>
      <c r="F103" s="2"/>
      <c r="G103" s="52"/>
      <c r="H103" s="52"/>
      <c r="I103" s="52"/>
      <c r="J103" s="54"/>
      <c r="K103" s="54"/>
      <c r="L103" s="54"/>
      <c r="M103" s="21"/>
    </row>
    <row r="104" spans="1:86" x14ac:dyDescent="0.3">
      <c r="A104" s="53"/>
      <c r="B104" s="53"/>
      <c r="C104" s="53"/>
      <c r="D104" s="53"/>
      <c r="E104" s="176"/>
      <c r="F104" s="2"/>
      <c r="G104" s="55" t="s">
        <v>22</v>
      </c>
      <c r="H104" s="55">
        <f>SUM(H101+I101)</f>
        <v>744679.15199999977</v>
      </c>
      <c r="I104" s="52"/>
      <c r="J104" s="54"/>
      <c r="K104" s="54"/>
      <c r="L104" s="54"/>
      <c r="M104" s="21"/>
    </row>
    <row r="106" spans="1:86" x14ac:dyDescent="0.3">
      <c r="A106" s="56" t="s">
        <v>23</v>
      </c>
    </row>
  </sheetData>
  <autoFilter ref="A7:L89"/>
  <mergeCells count="1">
    <mergeCell ref="A1:L1"/>
  </mergeCells>
  <pageMargins left="0.70833333333333304" right="0.70833333333333304" top="0.74791666666666701" bottom="0.74791666666666701" header="0.51180555555555496" footer="0.51180555555555496"/>
  <pageSetup paperSize="9" scale="85" firstPageNumber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zoomScaleNormal="100" workbookViewId="0"/>
  </sheetViews>
  <sheetFormatPr baseColWidth="10" defaultColWidth="10.5546875" defaultRowHeight="14.4" x14ac:dyDescent="0.3"/>
  <cols>
    <col min="3" max="3" width="26.6640625" customWidth="1"/>
    <col min="4" max="4" width="14.109375" customWidth="1"/>
    <col min="6" max="6" width="15.44140625" customWidth="1"/>
    <col min="8" max="8" width="14.5546875" customWidth="1"/>
    <col min="9" max="9" width="13.109375" customWidth="1"/>
    <col min="10" max="10" width="16.88671875" customWidth="1"/>
    <col min="11" max="11" width="8.33203125" customWidth="1"/>
    <col min="12" max="12" width="32.44140625" customWidth="1"/>
  </cols>
  <sheetData>
    <row r="1" spans="1:12" ht="15.6" x14ac:dyDescent="0.3">
      <c r="A1" s="57" t="str">
        <f>+VENTAS!A5</f>
        <v>MES: Enero 2023</v>
      </c>
    </row>
    <row r="2" spans="1:12" x14ac:dyDescent="0.3">
      <c r="A2" s="58" t="s">
        <v>24</v>
      </c>
      <c r="B2" s="58" t="s">
        <v>25</v>
      </c>
      <c r="C2" s="58" t="s">
        <v>26</v>
      </c>
      <c r="D2" s="58" t="s">
        <v>27</v>
      </c>
      <c r="E2" s="58" t="s">
        <v>28</v>
      </c>
      <c r="F2" s="58" t="s">
        <v>29</v>
      </c>
      <c r="G2" s="58" t="s">
        <v>30</v>
      </c>
      <c r="H2" s="58" t="s">
        <v>31</v>
      </c>
      <c r="I2" s="58" t="s">
        <v>32</v>
      </c>
      <c r="J2" s="58" t="s">
        <v>33</v>
      </c>
      <c r="K2" s="58" t="s">
        <v>34</v>
      </c>
      <c r="L2" s="58" t="s">
        <v>35</v>
      </c>
    </row>
    <row r="3" spans="1:12" s="62" customFormat="1" ht="11.4" x14ac:dyDescent="0.2">
      <c r="A3" s="59"/>
      <c r="B3" s="60"/>
      <c r="C3" s="60"/>
      <c r="D3" s="30"/>
      <c r="E3" s="61"/>
      <c r="F3" s="61"/>
      <c r="G3" s="61"/>
      <c r="H3" s="61"/>
      <c r="I3" s="60"/>
      <c r="J3" s="60"/>
      <c r="K3" s="60"/>
      <c r="L3" s="60"/>
    </row>
    <row r="4" spans="1:12" s="62" customFormat="1" ht="11.4" x14ac:dyDescent="0.2">
      <c r="A4" s="59"/>
      <c r="B4" s="60"/>
      <c r="C4" s="60"/>
      <c r="D4" s="30"/>
      <c r="E4" s="31"/>
      <c r="F4" s="61"/>
      <c r="G4" s="60"/>
      <c r="H4" s="61"/>
      <c r="I4" s="60"/>
      <c r="J4" s="60"/>
      <c r="K4" s="60"/>
      <c r="L4" s="60"/>
    </row>
    <row r="5" spans="1:12" s="62" customFormat="1" ht="11.4" x14ac:dyDescent="0.2">
      <c r="A5" s="59"/>
      <c r="B5" s="60"/>
      <c r="C5" s="9"/>
      <c r="D5" s="30"/>
      <c r="E5" s="10"/>
      <c r="F5" s="61"/>
      <c r="G5" s="60"/>
      <c r="H5" s="61"/>
      <c r="I5" s="60"/>
      <c r="J5" s="60"/>
      <c r="K5" s="60"/>
      <c r="L5" s="63"/>
    </row>
    <row r="6" spans="1:12" x14ac:dyDescent="0.3">
      <c r="A6" s="8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</row>
    <row r="7" spans="1:12" x14ac:dyDescent="0.3">
      <c r="A7" s="8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</row>
    <row r="8" spans="1:12" x14ac:dyDescent="0.3">
      <c r="A8" s="8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</row>
    <row r="9" spans="1:12" x14ac:dyDescent="0.3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</row>
    <row r="10" spans="1:12" x14ac:dyDescent="0.3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</row>
    <row r="11" spans="1:12" x14ac:dyDescent="0.3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zoomScale="70" zoomScaleNormal="70" workbookViewId="0">
      <pane ySplit="5" topLeftCell="A6" activePane="bottomLeft" state="frozen"/>
      <selection pane="bottomLeft" activeCell="E25" sqref="E25"/>
    </sheetView>
  </sheetViews>
  <sheetFormatPr baseColWidth="10" defaultColWidth="10.5546875" defaultRowHeight="14.4" x14ac:dyDescent="0.3"/>
  <cols>
    <col min="1" max="1" width="12.109375" customWidth="1"/>
    <col min="3" max="3" width="43.33203125" customWidth="1"/>
    <col min="4" max="4" width="16.88671875" customWidth="1"/>
    <col min="5" max="5" width="15.88671875" customWidth="1"/>
    <col min="6" max="6" width="11.5546875" customWidth="1"/>
    <col min="7" max="7" width="15.6640625" customWidth="1"/>
    <col min="11" max="11" width="16.6640625" customWidth="1"/>
    <col min="12" max="12" width="17.109375" customWidth="1"/>
    <col min="13" max="13" width="16.6640625" customWidth="1"/>
    <col min="14" max="14" width="46.6640625" customWidth="1"/>
  </cols>
  <sheetData>
    <row r="1" spans="1:14" ht="36.75" customHeight="1" x14ac:dyDescent="0.4">
      <c r="A1" s="65" t="s">
        <v>36</v>
      </c>
    </row>
    <row r="2" spans="1:14" ht="25.2" customHeight="1" x14ac:dyDescent="0.4">
      <c r="A2" s="65" t="str">
        <f>+VENTAS!A5</f>
        <v>MES: Enero 2023</v>
      </c>
    </row>
    <row r="3" spans="1:14" ht="26.4" customHeight="1" x14ac:dyDescent="0.3">
      <c r="A3" s="66"/>
    </row>
    <row r="4" spans="1:14" ht="15" customHeight="1" x14ac:dyDescent="0.3">
      <c r="A4" s="265" t="s">
        <v>37</v>
      </c>
      <c r="B4" s="265" t="s">
        <v>25</v>
      </c>
      <c r="C4" s="265" t="s">
        <v>26</v>
      </c>
      <c r="D4" s="265" t="s">
        <v>27</v>
      </c>
      <c r="E4" s="265" t="s">
        <v>28</v>
      </c>
      <c r="F4" s="266" t="s">
        <v>38</v>
      </c>
      <c r="G4" s="266"/>
      <c r="H4" s="266"/>
      <c r="I4" s="266"/>
      <c r="J4" s="266"/>
      <c r="K4" s="265" t="s">
        <v>39</v>
      </c>
      <c r="L4" s="267"/>
      <c r="M4" s="267" t="s">
        <v>40</v>
      </c>
      <c r="N4" s="268" t="s">
        <v>41</v>
      </c>
    </row>
    <row r="5" spans="1:14" x14ac:dyDescent="0.3">
      <c r="A5" s="265"/>
      <c r="B5" s="265"/>
      <c r="C5" s="265"/>
      <c r="D5" s="265"/>
      <c r="E5" s="265"/>
      <c r="F5" s="67" t="s">
        <v>42</v>
      </c>
      <c r="G5" s="67" t="s">
        <v>43</v>
      </c>
      <c r="H5" s="67" t="s">
        <v>44</v>
      </c>
      <c r="I5" s="67" t="s">
        <v>45</v>
      </c>
      <c r="J5" s="67" t="s">
        <v>46</v>
      </c>
      <c r="K5" s="265"/>
      <c r="L5" s="267"/>
      <c r="M5" s="267"/>
      <c r="N5" s="268"/>
    </row>
    <row r="6" spans="1:14" x14ac:dyDescent="0.3">
      <c r="A6" s="13"/>
      <c r="B6" s="68"/>
      <c r="C6" s="69"/>
      <c r="D6" s="13"/>
      <c r="E6" s="70"/>
      <c r="F6" s="70"/>
      <c r="G6" s="70"/>
      <c r="H6" s="70"/>
      <c r="I6" s="70"/>
      <c r="J6" s="70"/>
      <c r="K6" s="70"/>
      <c r="L6" s="70"/>
      <c r="M6" s="13"/>
      <c r="N6" s="13"/>
    </row>
    <row r="7" spans="1:14" x14ac:dyDescent="0.3">
      <c r="A7" s="13"/>
      <c r="B7" s="68"/>
      <c r="C7" s="13"/>
      <c r="E7" s="70"/>
      <c r="F7" s="70"/>
      <c r="G7" s="70"/>
      <c r="H7" s="70"/>
      <c r="I7" s="70"/>
      <c r="J7" s="70"/>
      <c r="K7" s="70"/>
      <c r="L7" s="70"/>
      <c r="M7" s="13"/>
      <c r="N7" s="71"/>
    </row>
    <row r="8" spans="1:14" x14ac:dyDescent="0.3">
      <c r="A8" s="13"/>
      <c r="B8" s="68"/>
      <c r="C8" s="13"/>
      <c r="D8" s="13"/>
      <c r="E8" s="70"/>
      <c r="F8" s="70"/>
      <c r="G8" s="70"/>
      <c r="H8" s="70"/>
      <c r="I8" s="70"/>
      <c r="J8" s="70"/>
      <c r="K8" s="70"/>
      <c r="L8" s="70"/>
      <c r="M8" s="13"/>
      <c r="N8" s="13"/>
    </row>
    <row r="9" spans="1:14" x14ac:dyDescent="0.3">
      <c r="A9" s="13"/>
      <c r="B9" s="68"/>
      <c r="C9" s="13"/>
      <c r="E9" s="70"/>
      <c r="F9" s="70"/>
      <c r="G9" s="70"/>
      <c r="H9" s="70"/>
      <c r="I9" s="70"/>
      <c r="J9" s="70"/>
      <c r="K9" s="70"/>
      <c r="L9" s="70"/>
      <c r="M9" s="13"/>
      <c r="N9" s="13"/>
    </row>
    <row r="10" spans="1:14" x14ac:dyDescent="0.3">
      <c r="A10" s="13"/>
      <c r="B10" s="68"/>
      <c r="C10" s="13"/>
      <c r="D10" s="13"/>
      <c r="E10" s="70"/>
      <c r="F10" s="70"/>
      <c r="G10" s="70"/>
      <c r="H10" s="70"/>
      <c r="I10" s="70"/>
      <c r="J10" s="70"/>
      <c r="K10" s="70"/>
      <c r="L10" s="70"/>
      <c r="M10" s="13"/>
      <c r="N10" s="71"/>
    </row>
    <row r="11" spans="1:14" x14ac:dyDescent="0.3">
      <c r="A11" s="13"/>
      <c r="B11" s="68"/>
      <c r="C11" s="13"/>
      <c r="D11" s="13"/>
      <c r="E11" s="70"/>
      <c r="F11" s="70"/>
      <c r="G11" s="70"/>
      <c r="H11" s="70"/>
      <c r="I11" s="70"/>
      <c r="J11" s="70"/>
      <c r="K11" s="70"/>
      <c r="L11" s="70"/>
      <c r="M11" s="13"/>
      <c r="N11" s="71"/>
    </row>
    <row r="12" spans="1:14" x14ac:dyDescent="0.3">
      <c r="A12" s="13"/>
      <c r="B12" s="68"/>
      <c r="C12" s="13"/>
      <c r="D12" s="13"/>
      <c r="E12" s="70"/>
      <c r="F12" s="70"/>
      <c r="G12" s="70"/>
      <c r="H12" s="70"/>
      <c r="I12" s="70"/>
      <c r="J12" s="70"/>
      <c r="K12" s="70"/>
      <c r="L12" s="70"/>
      <c r="M12" s="13"/>
      <c r="N12" s="71"/>
    </row>
    <row r="13" spans="1:14" x14ac:dyDescent="0.3">
      <c r="A13" s="13"/>
      <c r="B13" s="68"/>
      <c r="C13" s="13"/>
      <c r="D13" s="13"/>
      <c r="E13" s="70"/>
      <c r="F13" s="70"/>
      <c r="G13" s="70"/>
      <c r="H13" s="70"/>
      <c r="I13" s="70"/>
      <c r="J13" s="70"/>
      <c r="K13" s="70"/>
      <c r="L13" s="70"/>
      <c r="M13" s="13"/>
      <c r="N13" s="71"/>
    </row>
    <row r="14" spans="1:14" x14ac:dyDescent="0.3">
      <c r="A14" s="13"/>
      <c r="B14" s="68"/>
      <c r="C14" s="13"/>
      <c r="D14" s="13"/>
      <c r="E14" s="70"/>
      <c r="F14" s="70"/>
      <c r="G14" s="70"/>
      <c r="H14" s="70"/>
      <c r="I14" s="70"/>
      <c r="J14" s="70"/>
      <c r="K14" s="70"/>
      <c r="L14" s="70"/>
      <c r="M14" s="13"/>
      <c r="N14" s="13"/>
    </row>
    <row r="15" spans="1:14" x14ac:dyDescent="0.3">
      <c r="A15" s="13"/>
      <c r="B15" s="13"/>
      <c r="C15" s="13"/>
      <c r="D15" s="13"/>
      <c r="E15" s="70"/>
      <c r="F15" s="70"/>
      <c r="G15" s="70"/>
      <c r="H15" s="70"/>
      <c r="I15" s="70"/>
      <c r="J15" s="70"/>
      <c r="K15" s="70"/>
      <c r="L15" s="70"/>
      <c r="M15" s="13"/>
      <c r="N15" s="13"/>
    </row>
    <row r="16" spans="1:14" x14ac:dyDescent="0.3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70" t="s">
        <v>47</v>
      </c>
      <c r="M16" s="13"/>
      <c r="N16" s="13"/>
    </row>
    <row r="17" spans="1:14" x14ac:dyDescent="0.3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70" t="s">
        <v>47</v>
      </c>
      <c r="M17" s="13"/>
      <c r="N17" s="13"/>
    </row>
    <row r="18" spans="1:14" x14ac:dyDescent="0.3">
      <c r="C18" t="s">
        <v>48</v>
      </c>
      <c r="E18" s="72">
        <f t="shared" ref="E18:J18" si="0">SUM(E7:E17)</f>
        <v>0</v>
      </c>
      <c r="F18" s="72">
        <f t="shared" si="0"/>
        <v>0</v>
      </c>
      <c r="G18" s="72">
        <f t="shared" si="0"/>
        <v>0</v>
      </c>
      <c r="H18" s="72">
        <f t="shared" si="0"/>
        <v>0</v>
      </c>
      <c r="I18" s="72">
        <f t="shared" si="0"/>
        <v>0</v>
      </c>
      <c r="J18" s="72">
        <f t="shared" si="0"/>
        <v>0</v>
      </c>
      <c r="K18" s="72" t="s">
        <v>47</v>
      </c>
    </row>
  </sheetData>
  <mergeCells count="10">
    <mergeCell ref="F4:J4"/>
    <mergeCell ref="K4:K5"/>
    <mergeCell ref="L4:L5"/>
    <mergeCell ref="M4:M5"/>
    <mergeCell ref="N4:N5"/>
    <mergeCell ref="A4:A5"/>
    <mergeCell ref="B4:B5"/>
    <mergeCell ref="C4:C5"/>
    <mergeCell ref="D4:D5"/>
    <mergeCell ref="E4:E5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"/>
  <sheetViews>
    <sheetView zoomScaleNormal="100" workbookViewId="0">
      <selection activeCell="E10" sqref="E10:E11"/>
    </sheetView>
  </sheetViews>
  <sheetFormatPr baseColWidth="10" defaultColWidth="10.5546875" defaultRowHeight="14.4" x14ac:dyDescent="0.3"/>
  <cols>
    <col min="1" max="21" width="17.109375" customWidth="1"/>
  </cols>
  <sheetData>
    <row r="1" spans="1:21" x14ac:dyDescent="0.3">
      <c r="A1" s="269" t="str">
        <f>+VENTAS!A5</f>
        <v>MES: Enero 2023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</row>
    <row r="2" spans="1:21" x14ac:dyDescent="0.3">
      <c r="A2" s="81" t="s">
        <v>4</v>
      </c>
      <c r="B2" s="81" t="s">
        <v>5</v>
      </c>
      <c r="C2" s="81" t="s">
        <v>6</v>
      </c>
      <c r="D2" s="81" t="s">
        <v>54</v>
      </c>
      <c r="E2" s="81" t="s">
        <v>55</v>
      </c>
      <c r="F2" s="82" t="s">
        <v>56</v>
      </c>
      <c r="G2" s="83" t="s">
        <v>57</v>
      </c>
      <c r="H2" s="84" t="s">
        <v>58</v>
      </c>
      <c r="I2" s="84" t="s">
        <v>59</v>
      </c>
      <c r="J2" s="85" t="s">
        <v>60</v>
      </c>
      <c r="K2" s="85" t="s">
        <v>61</v>
      </c>
      <c r="L2" s="84" t="s">
        <v>62</v>
      </c>
      <c r="M2" s="86" t="s">
        <v>63</v>
      </c>
      <c r="N2" s="86" t="s">
        <v>64</v>
      </c>
      <c r="O2" s="86" t="s">
        <v>65</v>
      </c>
      <c r="P2" s="83" t="s">
        <v>66</v>
      </c>
      <c r="Q2" s="83" t="s">
        <v>67</v>
      </c>
      <c r="R2" s="83" t="s">
        <v>14</v>
      </c>
      <c r="S2" s="86" t="s">
        <v>16</v>
      </c>
      <c r="T2" s="86"/>
      <c r="U2" s="87"/>
    </row>
    <row r="3" spans="1:21" s="73" customFormat="1" x14ac:dyDescent="0.3">
      <c r="A3" s="88"/>
      <c r="B3" s="6"/>
      <c r="C3" s="7"/>
      <c r="D3" s="8"/>
      <c r="E3" s="6"/>
      <c r="F3" s="80"/>
      <c r="G3" s="6"/>
      <c r="H3" s="6"/>
      <c r="I3" s="6"/>
      <c r="J3" s="75"/>
      <c r="K3" s="74"/>
      <c r="L3" s="74"/>
      <c r="M3" s="76"/>
      <c r="N3" s="76"/>
      <c r="O3" s="76"/>
      <c r="P3" s="76"/>
      <c r="Q3" s="77"/>
      <c r="R3" s="78"/>
      <c r="S3" s="79"/>
    </row>
    <row r="4" spans="1:21" x14ac:dyDescent="0.3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</row>
    <row r="5" spans="1:21" x14ac:dyDescent="0.3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</row>
    <row r="6" spans="1:21" x14ac:dyDescent="0.3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</row>
    <row r="7" spans="1:21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</row>
    <row r="8" spans="1:21" x14ac:dyDescent="0.3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</row>
    <row r="9" spans="1:21" x14ac:dyDescent="0.3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spans="1:21" x14ac:dyDescent="0.3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spans="1:21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</row>
    <row r="12" spans="1:2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</row>
  </sheetData>
  <mergeCells count="1">
    <mergeCell ref="A1:U1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COMPRAS</vt:lpstr>
      <vt:lpstr>VENTAS</vt:lpstr>
      <vt:lpstr>A COBRAR</vt:lpstr>
      <vt:lpstr>RECIBOS CLI</vt:lpstr>
      <vt:lpstr>A PAGAR</vt:lpstr>
      <vt:lpstr>VENTAS!Área_de_impresión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Nextron</dc:creator>
  <dc:description/>
  <cp:lastModifiedBy>Josefina Urquiza</cp:lastModifiedBy>
  <cp:revision>1</cp:revision>
  <cp:lastPrinted>2017-06-01T19:44:56Z</cp:lastPrinted>
  <dcterms:created xsi:type="dcterms:W3CDTF">2016-09-20T18:22:38Z</dcterms:created>
  <dcterms:modified xsi:type="dcterms:W3CDTF">2026-04-01T18:50:52Z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