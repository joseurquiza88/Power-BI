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Josefina\Proyectos\Datascience\Power-BI\Isla\Contabilidad\2026\"/>
    </mc:Choice>
  </mc:AlternateContent>
  <bookViews>
    <workbookView xWindow="0" yWindow="0" windowWidth="28800" windowHeight="12144" tabRatio="481"/>
  </bookViews>
  <sheets>
    <sheet name="COMPRAS" sheetId="6" r:id="rId1"/>
    <sheet name="VENTAS" sheetId="1" r:id="rId2"/>
    <sheet name="A COBRAR" sheetId="2" r:id="rId3"/>
    <sheet name="RECIBOS CLI" sheetId="3" r:id="rId4"/>
    <sheet name="A PAGAR" sheetId="5" r:id="rId5"/>
  </sheets>
  <definedNames>
    <definedName name="_xlnm._FilterDatabase" localSheetId="0" hidden="1">COMPRAS!$A$6:$R$79</definedName>
    <definedName name="_xlnm._FilterDatabase" localSheetId="1" hidden="1">VENTAS!$A$6:$P$72</definedName>
    <definedName name="_xlnm.Print_Area" localSheetId="1">VENTAS!$A$1:$N$74</definedName>
  </definedNames>
  <calcPr calcId="162913"/>
</workbook>
</file>

<file path=xl/calcChain.xml><?xml version="1.0" encoding="utf-8"?>
<calcChain xmlns="http://schemas.openxmlformats.org/spreadsheetml/2006/main">
  <c r="I72" i="1" l="1"/>
  <c r="O72" i="1" s="1"/>
  <c r="I71" i="1"/>
  <c r="O71" i="1" s="1"/>
  <c r="I70" i="1"/>
  <c r="O70" i="1" s="1"/>
  <c r="I69" i="1"/>
  <c r="O69" i="1" s="1"/>
  <c r="I68" i="1"/>
  <c r="O68" i="1" s="1"/>
  <c r="I67" i="1"/>
  <c r="O67" i="1" s="1"/>
  <c r="I66" i="1"/>
  <c r="O66" i="1" s="1"/>
  <c r="I65" i="1"/>
  <c r="O65" i="1" s="1"/>
  <c r="I64" i="1"/>
  <c r="O64" i="1" s="1"/>
  <c r="I63" i="1"/>
  <c r="O63" i="1" s="1"/>
  <c r="I62" i="1"/>
  <c r="O62" i="1" s="1"/>
  <c r="I61" i="1"/>
  <c r="O61" i="1" s="1"/>
  <c r="I60" i="1"/>
  <c r="O60" i="1" s="1"/>
  <c r="I59" i="1"/>
  <c r="O59" i="1" s="1"/>
  <c r="I58" i="1"/>
  <c r="O58" i="1" s="1"/>
  <c r="I57" i="1"/>
  <c r="O57" i="1" s="1"/>
  <c r="I56" i="1"/>
  <c r="O56" i="1" s="1"/>
  <c r="I55" i="1"/>
  <c r="O55" i="1" s="1"/>
  <c r="I54" i="1"/>
  <c r="O54" i="1" s="1"/>
  <c r="I53" i="1"/>
  <c r="O53" i="1" s="1"/>
  <c r="I52" i="1"/>
  <c r="O52" i="1" s="1"/>
  <c r="I51" i="1"/>
  <c r="O51" i="1" s="1"/>
  <c r="I50" i="1"/>
  <c r="O50" i="1" s="1"/>
  <c r="I49" i="1"/>
  <c r="O49" i="1" s="1"/>
  <c r="I48" i="1"/>
  <c r="O48" i="1" s="1"/>
  <c r="I47" i="1"/>
  <c r="O47" i="1" s="1"/>
  <c r="I46" i="1"/>
  <c r="O46" i="1" s="1"/>
  <c r="I45" i="1"/>
  <c r="O45" i="1" s="1"/>
  <c r="I44" i="1"/>
  <c r="O44" i="1" s="1"/>
  <c r="I43" i="1"/>
  <c r="O43" i="1" s="1"/>
  <c r="I42" i="1"/>
  <c r="O42" i="1" s="1"/>
  <c r="I41" i="1"/>
  <c r="O41" i="1" s="1"/>
  <c r="I40" i="1"/>
  <c r="O40" i="1" s="1"/>
  <c r="I39" i="1"/>
  <c r="O39" i="1" s="1"/>
  <c r="I38" i="1"/>
  <c r="O38" i="1" s="1"/>
  <c r="I37" i="1"/>
  <c r="O37" i="1" s="1"/>
  <c r="I36" i="1"/>
  <c r="O36" i="1" s="1"/>
  <c r="I35" i="1"/>
  <c r="O35" i="1" s="1"/>
  <c r="I34" i="1"/>
  <c r="O34" i="1" s="1"/>
  <c r="I33" i="1"/>
  <c r="O33" i="1" s="1"/>
  <c r="I32" i="1"/>
  <c r="O32" i="1" s="1"/>
  <c r="I31" i="1"/>
  <c r="O31" i="1" s="1"/>
  <c r="I30" i="1"/>
  <c r="O30" i="1" s="1"/>
  <c r="I29" i="1"/>
  <c r="O29" i="1" s="1"/>
  <c r="I28" i="1"/>
  <c r="O28" i="1" s="1"/>
  <c r="I27" i="1"/>
  <c r="O27" i="1" s="1"/>
  <c r="I26" i="1"/>
  <c r="O26" i="1" s="1"/>
  <c r="I25" i="1"/>
  <c r="O25" i="1" s="1"/>
  <c r="I24" i="1"/>
  <c r="O24" i="1" s="1"/>
  <c r="I23" i="1"/>
  <c r="O23" i="1" s="1"/>
  <c r="I22" i="1"/>
  <c r="O22" i="1" s="1"/>
  <c r="I21" i="1"/>
  <c r="O21" i="1" s="1"/>
  <c r="I20" i="1"/>
  <c r="O20" i="1" s="1"/>
  <c r="I19" i="1"/>
  <c r="O19" i="1" s="1"/>
  <c r="I18" i="1"/>
  <c r="O18" i="1" s="1"/>
  <c r="I17" i="1"/>
  <c r="O17" i="1" s="1"/>
  <c r="I16" i="1"/>
  <c r="O16" i="1" s="1"/>
  <c r="I15" i="1"/>
  <c r="O15" i="1" s="1"/>
  <c r="I14" i="1"/>
  <c r="O14" i="1" s="1"/>
  <c r="I13" i="1"/>
  <c r="O13" i="1" s="1"/>
  <c r="I12" i="1"/>
  <c r="O12" i="1" s="1"/>
  <c r="I11" i="1"/>
  <c r="O11" i="1" s="1"/>
  <c r="I10" i="1"/>
  <c r="O10" i="1" s="1"/>
  <c r="I9" i="1"/>
  <c r="O9" i="1" s="1"/>
  <c r="I8" i="1"/>
  <c r="O8" i="1" s="1"/>
  <c r="I7" i="1"/>
  <c r="O7" i="1" s="1"/>
  <c r="L79" i="6" l="1"/>
  <c r="R79" i="6" s="1"/>
  <c r="L78" i="6"/>
  <c r="R78" i="6" s="1"/>
  <c r="L77" i="6"/>
  <c r="R77" i="6" s="1"/>
  <c r="L76" i="6"/>
  <c r="R76" i="6" s="1"/>
  <c r="L75" i="6"/>
  <c r="R75" i="6" s="1"/>
  <c r="L74" i="6"/>
  <c r="R74" i="6" s="1"/>
  <c r="L73" i="6"/>
  <c r="R73" i="6" s="1"/>
  <c r="L72" i="6"/>
  <c r="R72" i="6" s="1"/>
  <c r="L71" i="6"/>
  <c r="R71" i="6" s="1"/>
  <c r="L70" i="6"/>
  <c r="R70" i="6" s="1"/>
  <c r="L69" i="6"/>
  <c r="R69" i="6" s="1"/>
  <c r="L68" i="6"/>
  <c r="R68" i="6" s="1"/>
  <c r="L30" i="6"/>
  <c r="R30" i="6" s="1"/>
  <c r="L66" i="6"/>
  <c r="R66" i="6" s="1"/>
  <c r="L11" i="6"/>
  <c r="R11" i="6" s="1"/>
  <c r="L64" i="6"/>
  <c r="R64" i="6" s="1"/>
  <c r="L63" i="6"/>
  <c r="R63" i="6" s="1"/>
  <c r="L62" i="6"/>
  <c r="R62" i="6" s="1"/>
  <c r="L51" i="6"/>
  <c r="R51" i="6" s="1"/>
  <c r="L31" i="6"/>
  <c r="R31" i="6" s="1"/>
  <c r="L8" i="6"/>
  <c r="R8" i="6" s="1"/>
  <c r="L61" i="6"/>
  <c r="R61" i="6" s="1"/>
  <c r="L50" i="6"/>
  <c r="R50" i="6" s="1"/>
  <c r="L32" i="6"/>
  <c r="R32" i="6" s="1"/>
  <c r="L55" i="6"/>
  <c r="R55" i="6" s="1"/>
  <c r="L54" i="6"/>
  <c r="R54" i="6" s="1"/>
  <c r="L53" i="6"/>
  <c r="R53" i="6" s="1"/>
  <c r="L59" i="6"/>
  <c r="R59" i="6" s="1"/>
  <c r="L48" i="6"/>
  <c r="R48" i="6" s="1"/>
  <c r="L58" i="6"/>
  <c r="R58" i="6" s="1"/>
  <c r="L26" i="6"/>
  <c r="R26" i="6" s="1"/>
  <c r="L34" i="6"/>
  <c r="R34" i="6" s="1"/>
  <c r="L49" i="6"/>
  <c r="R49" i="6" s="1"/>
  <c r="Q46" i="6"/>
  <c r="L46" i="6"/>
  <c r="R46" i="6" s="1"/>
  <c r="L27" i="6"/>
  <c r="R27" i="6" s="1"/>
  <c r="L7" i="6"/>
  <c r="R7" i="6" s="1"/>
  <c r="L67" i="6"/>
  <c r="R67" i="6" s="1"/>
  <c r="L9" i="6"/>
  <c r="R9" i="6" s="1"/>
  <c r="L40" i="6"/>
  <c r="R40" i="6" s="1"/>
  <c r="L44" i="6"/>
  <c r="R44" i="6" s="1"/>
  <c r="L57" i="6"/>
  <c r="R57" i="6" s="1"/>
  <c r="L21" i="6"/>
  <c r="R21" i="6" s="1"/>
  <c r="L29" i="6"/>
  <c r="R29" i="6" s="1"/>
  <c r="L36" i="6"/>
  <c r="R36" i="6" s="1"/>
  <c r="L35" i="6"/>
  <c r="R35" i="6" s="1"/>
  <c r="L10" i="6"/>
  <c r="R10" i="6" s="1"/>
  <c r="L33" i="6"/>
  <c r="R33" i="6" s="1"/>
  <c r="L37" i="6"/>
  <c r="R37" i="6" s="1"/>
  <c r="L52" i="6"/>
  <c r="R52" i="6" s="1"/>
  <c r="L19" i="6"/>
  <c r="R19" i="6" s="1"/>
  <c r="L43" i="6"/>
  <c r="R43" i="6" s="1"/>
  <c r="L28" i="6"/>
  <c r="R28" i="6" s="1"/>
  <c r="L16" i="6"/>
  <c r="R16" i="6" s="1"/>
  <c r="L13" i="6"/>
  <c r="R13" i="6" s="1"/>
  <c r="L25" i="6"/>
  <c r="R25" i="6" s="1"/>
  <c r="L24" i="6"/>
  <c r="R24" i="6" s="1"/>
  <c r="L23" i="6"/>
  <c r="R23" i="6" s="1"/>
  <c r="L15" i="6"/>
  <c r="R15" i="6" s="1"/>
  <c r="L47" i="6"/>
  <c r="R47" i="6" s="1"/>
  <c r="L20" i="6"/>
  <c r="R20" i="6" s="1"/>
  <c r="L12" i="6"/>
  <c r="R12" i="6" s="1"/>
  <c r="L18" i="6"/>
  <c r="R18" i="6" s="1"/>
  <c r="L17" i="6"/>
  <c r="R17" i="6" s="1"/>
  <c r="L45" i="6"/>
  <c r="R45" i="6" s="1"/>
  <c r="L56" i="6"/>
  <c r="R56" i="6" s="1"/>
  <c r="L39" i="6"/>
  <c r="R39" i="6" s="1"/>
  <c r="L42" i="6"/>
  <c r="R42" i="6" s="1"/>
  <c r="L14" i="6"/>
  <c r="R14" i="6" s="1"/>
  <c r="L22" i="6"/>
  <c r="R22" i="6" s="1"/>
  <c r="L41" i="6"/>
  <c r="R41" i="6" s="1"/>
  <c r="L60" i="6"/>
  <c r="R60" i="6" s="1"/>
  <c r="L65" i="6"/>
  <c r="R65" i="6" s="1"/>
  <c r="L38" i="6"/>
  <c r="R38" i="6" s="1"/>
  <c r="A1" i="5" l="1"/>
  <c r="J18" i="3"/>
  <c r="I18" i="3"/>
  <c r="H18" i="3"/>
  <c r="G18" i="3"/>
  <c r="F18" i="3"/>
  <c r="E18" i="3"/>
  <c r="A2" i="3"/>
  <c r="A1" i="2"/>
</calcChain>
</file>

<file path=xl/sharedStrings.xml><?xml version="1.0" encoding="utf-8"?>
<sst xmlns="http://schemas.openxmlformats.org/spreadsheetml/2006/main" count="799" uniqueCount="116">
  <si>
    <t xml:space="preserve">Razon Social: </t>
  </si>
  <si>
    <t>ISLA ECOLOGICA S.A.</t>
  </si>
  <si>
    <t>Fecha</t>
  </si>
  <si>
    <t>Tipo Compr.</t>
  </si>
  <si>
    <t>Punto de venta</t>
  </si>
  <si>
    <t>Nro. Compr.</t>
  </si>
  <si>
    <t>Razón Social</t>
  </si>
  <si>
    <t>Cuit/DNI</t>
  </si>
  <si>
    <t>Neto Gravado 1*</t>
  </si>
  <si>
    <t>IVA % 10,5</t>
  </si>
  <si>
    <t>IVA % 21</t>
  </si>
  <si>
    <t>Total</t>
  </si>
  <si>
    <t>Forma de Cobro</t>
  </si>
  <si>
    <t>Observaciones</t>
  </si>
  <si>
    <t>FACT</t>
  </si>
  <si>
    <t>FECHA</t>
  </si>
  <si>
    <t>CLIENTE</t>
  </si>
  <si>
    <t>CUIT</t>
  </si>
  <si>
    <t>IMPORTE</t>
  </si>
  <si>
    <t>IVA 21</t>
  </si>
  <si>
    <t>IVA 10,5</t>
  </si>
  <si>
    <t>IMPORTO</t>
  </si>
  <si>
    <t>FECHA PAGO</t>
  </si>
  <si>
    <t>FORMA DE PAGO</t>
  </si>
  <si>
    <t>RECIB Nº</t>
  </si>
  <si>
    <t>OBSERV.</t>
  </si>
  <si>
    <t xml:space="preserve">RECIBOS CLIENTE </t>
  </si>
  <si>
    <t>RECIBO</t>
  </si>
  <si>
    <t>RETENCIONES</t>
  </si>
  <si>
    <t>Importe total</t>
  </si>
  <si>
    <t>FORMA 
DE PAGO</t>
  </si>
  <si>
    <t>OBSERVACIONES</t>
  </si>
  <si>
    <t>IIBB/ cba</t>
  </si>
  <si>
    <t>GANANCIAS</t>
  </si>
  <si>
    <t>IVA</t>
  </si>
  <si>
    <t>SUSS</t>
  </si>
  <si>
    <t>OTROS</t>
  </si>
  <si>
    <t xml:space="preserve"> </t>
  </si>
  <si>
    <t>TOTALES →</t>
  </si>
  <si>
    <t>RAZON SOCIAL:</t>
  </si>
  <si>
    <t>ISLA ECOLOGICA SA</t>
  </si>
  <si>
    <t>Hoja Nº:</t>
  </si>
  <si>
    <t>Nº Compr.</t>
  </si>
  <si>
    <t>Razon Social</t>
  </si>
  <si>
    <t>Cuit</t>
  </si>
  <si>
    <t>Condición</t>
  </si>
  <si>
    <t>Concepto</t>
  </si>
  <si>
    <t>Forma de Pago</t>
  </si>
  <si>
    <t>Neto Gravado</t>
  </si>
  <si>
    <t>Iva % 10,5</t>
  </si>
  <si>
    <t xml:space="preserve">Iva % 21 </t>
  </si>
  <si>
    <t>Iva 27%</t>
  </si>
  <si>
    <t>IVA 3%</t>
  </si>
  <si>
    <t>Perc. IIBB</t>
  </si>
  <si>
    <t>Perc. Munic.</t>
  </si>
  <si>
    <t>No Gravado y Exento</t>
  </si>
  <si>
    <t>RI</t>
  </si>
  <si>
    <t xml:space="preserve"> Factura B</t>
  </si>
  <si>
    <t xml:space="preserve"> Factura A</t>
  </si>
  <si>
    <t>EPEC</t>
  </si>
  <si>
    <t>30-99902748-9</t>
  </si>
  <si>
    <t>efectivo</t>
  </si>
  <si>
    <t>LX ARGENTINA S.A.</t>
  </si>
  <si>
    <t>MUNICIPALIDAD DE SALSIPUEDES</t>
  </si>
  <si>
    <t>Consumidor final</t>
  </si>
  <si>
    <t>Efectivo</t>
  </si>
  <si>
    <t>Transferencia</t>
  </si>
  <si>
    <t>Cheque</t>
  </si>
  <si>
    <t>30-61415063-3</t>
  </si>
  <si>
    <t>30-70889578-0</t>
  </si>
  <si>
    <t>Materiales</t>
  </si>
  <si>
    <t>30-64831907-6</t>
  </si>
  <si>
    <t>Oil Petro Salsipuedes S.A.</t>
  </si>
  <si>
    <t>30-71691301-1</t>
  </si>
  <si>
    <t>30-71581464-8</t>
  </si>
  <si>
    <t>Ferreteria</t>
  </si>
  <si>
    <t>33-71742281-9</t>
  </si>
  <si>
    <t>Varios</t>
  </si>
  <si>
    <t>TASSI IVAN DARIO</t>
  </si>
  <si>
    <t>20-24841139-3</t>
  </si>
  <si>
    <t>Servicios</t>
  </si>
  <si>
    <t>23/04/2026</t>
  </si>
  <si>
    <t>MES</t>
  </si>
  <si>
    <t>Abril</t>
  </si>
  <si>
    <t>Factura A</t>
  </si>
  <si>
    <t>Combustible</t>
  </si>
  <si>
    <t>30-71543101-3</t>
  </si>
  <si>
    <t>LUCAM S.A.</t>
  </si>
  <si>
    <t>BAGLEY ARGENTINA S.A.</t>
  </si>
  <si>
    <t>SAN URBANO S.A.</t>
  </si>
  <si>
    <t>QUITAM S.A.</t>
  </si>
  <si>
    <t>06/04/2026</t>
  </si>
  <si>
    <t>07/04/2026</t>
  </si>
  <si>
    <t>08/04/2026</t>
  </si>
  <si>
    <t>09/04/2026</t>
  </si>
  <si>
    <t>10/04/2026</t>
  </si>
  <si>
    <t>11/04/2026</t>
  </si>
  <si>
    <t>13/04/2026</t>
  </si>
  <si>
    <t>MUNICIPALIDAD DE RIO CEBALLOS</t>
  </si>
  <si>
    <t>14/04/2026</t>
  </si>
  <si>
    <t>15/04/2026</t>
  </si>
  <si>
    <t>16/04/2026</t>
  </si>
  <si>
    <t>17/04/2026</t>
  </si>
  <si>
    <t>18/04/2026</t>
  </si>
  <si>
    <t>20/04/2026</t>
  </si>
  <si>
    <t>22/04/2026</t>
  </si>
  <si>
    <t>24/04/2026</t>
  </si>
  <si>
    <t>25/04/2026</t>
  </si>
  <si>
    <t>27/04/2026</t>
  </si>
  <si>
    <t>28/04/2026</t>
  </si>
  <si>
    <t>MUNICIPALIDAD DE AGUA DE ORO</t>
  </si>
  <si>
    <t xml:space="preserve"> Nota de credito B</t>
  </si>
  <si>
    <t>Nota de credito A</t>
  </si>
  <si>
    <t>ALEMMA S.A.</t>
  </si>
  <si>
    <t>JACRIMAR S.A.S.</t>
  </si>
  <si>
    <t>Alimentos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</si>
</sst>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/d/yyyy"/>
    <numFmt numFmtId="165" formatCode="0000"/>
    <numFmt numFmtId="166" formatCode="00000000"/>
    <numFmt numFmtId="167" formatCode="[$$-2C0A]\ #,##0.00"/>
    <numFmt numFmtId="168" formatCode="dd/mm/yy;@"/>
  </numFmts>
  <fonts count="3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1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0"/>
      <name val="Century Gothic"/>
      <family val="2"/>
      <charset val="1"/>
    </font>
    <font>
      <sz val="8"/>
      <name val="Century Gothic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b/>
      <u/>
      <sz val="9"/>
      <name val="Century Gothic"/>
      <family val="2"/>
      <charset val="1"/>
    </font>
    <font>
      <b/>
      <u/>
      <sz val="8"/>
      <name val="Century Gothic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Bookman Old Style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62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A6A6A6"/>
        <bgColor rgb="FF9999FF"/>
      </patternFill>
    </fill>
    <fill>
      <patternFill patternType="solid">
        <fgColor rgb="FFD9D9D9"/>
        <bgColor rgb="FFCCC1DA"/>
      </patternFill>
    </fill>
    <fill>
      <patternFill patternType="solid">
        <fgColor rgb="FFCCC1DA"/>
        <bgColor rgb="FFD9D9D9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0" fontId="6" fillId="0" borderId="0"/>
    <xf numFmtId="0" fontId="6" fillId="0" borderId="0"/>
    <xf numFmtId="0" fontId="5" fillId="0" borderId="0"/>
    <xf numFmtId="0" fontId="21" fillId="0" borderId="0"/>
    <xf numFmtId="0" fontId="24" fillId="0" borderId="0"/>
    <xf numFmtId="0" fontId="4" fillId="0" borderId="0"/>
    <xf numFmtId="0" fontId="25" fillId="0" borderId="0"/>
    <xf numFmtId="0" fontId="26" fillId="0" borderId="0"/>
  </cellStyleXfs>
  <cellXfs count="111">
    <xf numFmtId="0" fontId="0" fillId="0" borderId="0" xfId="0"/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8" fillId="0" borderId="0" xfId="1" applyFont="1" applyAlignment="1">
      <alignment horizontal="left"/>
    </xf>
    <xf numFmtId="0" fontId="6" fillId="0" borderId="1" xfId="2" applyFont="1" applyBorder="1" applyAlignment="1">
      <alignment horizontal="center"/>
    </xf>
    <xf numFmtId="165" fontId="6" fillId="0" borderId="1" xfId="2" applyNumberFormat="1" applyFont="1" applyBorder="1" applyAlignment="1">
      <alignment horizontal="center"/>
    </xf>
    <xf numFmtId="166" fontId="6" fillId="0" borderId="1" xfId="2" applyNumberFormat="1" applyFont="1" applyBorder="1" applyAlignment="1">
      <alignment horizontal="center"/>
    </xf>
    <xf numFmtId="4" fontId="9" fillId="0" borderId="1" xfId="2" applyNumberFormat="1" applyFont="1" applyBorder="1" applyAlignment="1">
      <alignment horizontal="left"/>
    </xf>
    <xf numFmtId="4" fontId="9" fillId="0" borderId="1" xfId="2" applyNumberFormat="1" applyFont="1" applyBorder="1" applyAlignment="1">
      <alignment horizontal="center"/>
    </xf>
    <xf numFmtId="0" fontId="0" fillId="0" borderId="1" xfId="0" applyBorder="1"/>
    <xf numFmtId="0" fontId="6" fillId="0" borderId="0" xfId="1" applyFont="1" applyBorder="1"/>
    <xf numFmtId="0" fontId="9" fillId="0" borderId="2" xfId="2" applyFont="1" applyBorder="1" applyAlignment="1">
      <alignment horizontal="center"/>
    </xf>
    <xf numFmtId="4" fontId="9" fillId="0" borderId="2" xfId="2" applyNumberFormat="1" applyFont="1" applyBorder="1" applyAlignment="1">
      <alignment horizontal="center"/>
    </xf>
    <xf numFmtId="0" fontId="0" fillId="0" borderId="0" xfId="0"/>
    <xf numFmtId="0" fontId="6" fillId="0" borderId="0" xfId="1" applyFont="1" applyAlignment="1">
      <alignment horizontal="left"/>
    </xf>
    <xf numFmtId="17" fontId="12" fillId="0" borderId="0" xfId="0" applyNumberFormat="1" applyFont="1"/>
    <xf numFmtId="0" fontId="13" fillId="2" borderId="1" xfId="0" applyFont="1" applyFill="1" applyBorder="1" applyAlignment="1">
      <alignment horizontal="center"/>
    </xf>
    <xf numFmtId="166" fontId="9" fillId="0" borderId="1" xfId="2" applyNumberFormat="1" applyFont="1" applyBorder="1" applyAlignment="1">
      <alignment horizontal="center"/>
    </xf>
    <xf numFmtId="16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/>
    <xf numFmtId="16" fontId="9" fillId="0" borderId="1" xfId="0" applyNumberFormat="1" applyFont="1" applyBorder="1" applyAlignment="1">
      <alignment horizontal="center" wrapText="1"/>
    </xf>
    <xf numFmtId="16" fontId="14" fillId="0" borderId="1" xfId="0" applyNumberFormat="1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1" fillId="4" borderId="1" xfId="0" applyFont="1" applyFill="1" applyBorder="1" applyAlignment="1">
      <alignment horizontal="center" vertical="center"/>
    </xf>
    <xf numFmtId="16" fontId="0" fillId="0" borderId="1" xfId="0" applyNumberFormat="1" applyBorder="1"/>
    <xf numFmtId="0" fontId="0" fillId="0" borderId="1" xfId="0" applyBorder="1" applyAlignment="1">
      <alignment horizontal="left"/>
    </xf>
    <xf numFmtId="167" fontId="0" fillId="0" borderId="1" xfId="0" applyNumberFormat="1" applyBorder="1"/>
    <xf numFmtId="0" fontId="0" fillId="0" borderId="1" xfId="0" applyBorder="1" applyAlignment="1">
      <alignment wrapText="1"/>
    </xf>
    <xf numFmtId="167" fontId="0" fillId="0" borderId="0" xfId="0" applyNumberFormat="1"/>
    <xf numFmtId="0" fontId="0" fillId="0" borderId="0" xfId="0" applyAlignment="1">
      <alignment horizontal="left"/>
    </xf>
    <xf numFmtId="4" fontId="17" fillId="0" borderId="1" xfId="0" applyNumberFormat="1" applyFont="1" applyBorder="1" applyAlignment="1">
      <alignment horizontal="center"/>
    </xf>
    <xf numFmtId="4" fontId="6" fillId="0" borderId="1" xfId="2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6" fillId="0" borderId="1" xfId="2" applyNumberFormat="1" applyBorder="1" applyAlignment="1">
      <alignment horizontal="center"/>
    </xf>
    <xf numFmtId="4" fontId="0" fillId="0" borderId="4" xfId="0" applyNumberFormat="1" applyBorder="1" applyAlignment="1"/>
    <xf numFmtId="0" fontId="7" fillId="0" borderId="5" xfId="2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8" fillId="5" borderId="6" xfId="0" applyFont="1" applyFill="1" applyBorder="1" applyAlignment="1">
      <alignment horizontal="center"/>
    </xf>
    <xf numFmtId="0" fontId="18" fillId="5" borderId="6" xfId="0" applyFont="1" applyFill="1" applyBorder="1" applyAlignment="1">
      <alignment horizontal="center" wrapText="1"/>
    </xf>
    <xf numFmtId="0" fontId="19" fillId="5" borderId="6" xfId="0" applyFont="1" applyFill="1" applyBorder="1" applyAlignment="1">
      <alignment horizontal="center"/>
    </xf>
    <xf numFmtId="9" fontId="19" fillId="5" borderId="6" xfId="0" applyNumberFormat="1" applyFont="1" applyFill="1" applyBorder="1" applyAlignment="1">
      <alignment horizontal="center"/>
    </xf>
    <xf numFmtId="10" fontId="19" fillId="5" borderId="6" xfId="0" applyNumberFormat="1" applyFont="1" applyFill="1" applyBorder="1" applyAlignment="1">
      <alignment horizontal="center"/>
    </xf>
    <xf numFmtId="9" fontId="19" fillId="5" borderId="6" xfId="0" applyNumberFormat="1" applyFont="1" applyFill="1" applyBorder="1" applyAlignment="1">
      <alignment horizontal="center" wrapText="1"/>
    </xf>
    <xf numFmtId="9" fontId="19" fillId="5" borderId="3" xfId="0" applyNumberFormat="1" applyFont="1" applyFill="1" applyBorder="1" applyAlignment="1">
      <alignment horizontal="center" wrapText="1"/>
    </xf>
    <xf numFmtId="164" fontId="6" fillId="0" borderId="1" xfId="2" applyNumberFormat="1" applyFont="1" applyBorder="1" applyAlignment="1">
      <alignment horizontal="center"/>
    </xf>
    <xf numFmtId="0" fontId="5" fillId="0" borderId="0" xfId="3" applyFill="1" applyAlignment="1"/>
    <xf numFmtId="0" fontId="5" fillId="0" borderId="0" xfId="3" applyFill="1" applyAlignment="1">
      <alignment horizontal="left"/>
    </xf>
    <xf numFmtId="0" fontId="5" fillId="0" borderId="0" xfId="3" applyFill="1" applyAlignment="1">
      <alignment horizontal="right"/>
    </xf>
    <xf numFmtId="0" fontId="5" fillId="0" borderId="0" xfId="3" applyNumberFormat="1" applyFill="1" applyAlignment="1"/>
    <xf numFmtId="0" fontId="5" fillId="0" borderId="0" xfId="3" applyFill="1" applyBorder="1" applyAlignment="1"/>
    <xf numFmtId="0" fontId="5" fillId="0" borderId="0" xfId="3" applyFill="1" applyAlignment="1">
      <alignment horizontal="center"/>
    </xf>
    <xf numFmtId="0" fontId="5" fillId="0" borderId="0" xfId="3" applyNumberFormat="1" applyFill="1" applyAlignment="1">
      <alignment horizontal="center"/>
    </xf>
    <xf numFmtId="0" fontId="20" fillId="0" borderId="0" xfId="3" applyFont="1" applyFill="1" applyAlignment="1"/>
    <xf numFmtId="4" fontId="5" fillId="0" borderId="0" xfId="3" applyNumberFormat="1" applyFill="1" applyAlignment="1"/>
    <xf numFmtId="4" fontId="5" fillId="0" borderId="0" xfId="3" applyNumberFormat="1" applyFill="1" applyAlignment="1">
      <alignment horizontal="left"/>
    </xf>
    <xf numFmtId="0" fontId="21" fillId="0" borderId="0" xfId="3" applyFont="1" applyFill="1" applyAlignment="1"/>
    <xf numFmtId="17" fontId="5" fillId="0" borderId="0" xfId="3" applyNumberFormat="1" applyFill="1" applyAlignment="1"/>
    <xf numFmtId="0" fontId="23" fillId="0" borderId="0" xfId="3" applyFont="1" applyFill="1" applyAlignment="1">
      <alignment horizontal="right"/>
    </xf>
    <xf numFmtId="0" fontId="20" fillId="0" borderId="0" xfId="3" applyNumberFormat="1" applyFont="1" applyFill="1" applyAlignment="1">
      <alignment horizontal="center"/>
    </xf>
    <xf numFmtId="0" fontId="0" fillId="0" borderId="0" xfId="0" applyBorder="1"/>
    <xf numFmtId="1" fontId="0" fillId="0" borderId="0" xfId="0" applyNumberFormat="1"/>
    <xf numFmtId="2" fontId="0" fillId="0" borderId="0" xfId="0" applyNumberFormat="1"/>
    <xf numFmtId="0" fontId="22" fillId="0" borderId="0" xfId="3" applyFont="1" applyFill="1" applyBorder="1" applyAlignment="1"/>
    <xf numFmtId="0" fontId="6" fillId="0" borderId="0" xfId="1" applyFont="1" applyAlignment="1">
      <alignment horizontal="left" wrapText="1"/>
    </xf>
    <xf numFmtId="0" fontId="8" fillId="0" borderId="0" xfId="1" applyFont="1" applyAlignment="1">
      <alignment horizontal="left" wrapText="1"/>
    </xf>
    <xf numFmtId="0" fontId="0" fillId="0" borderId="0" xfId="0" applyAlignment="1">
      <alignment wrapText="1"/>
    </xf>
    <xf numFmtId="0" fontId="3" fillId="0" borderId="0" xfId="3" applyFont="1" applyFill="1" applyBorder="1" applyAlignment="1"/>
    <xf numFmtId="0" fontId="28" fillId="0" borderId="1" xfId="3" applyFont="1" applyFill="1" applyBorder="1" applyAlignment="1">
      <alignment horizontal="center" vertical="center"/>
    </xf>
    <xf numFmtId="0" fontId="29" fillId="0" borderId="1" xfId="3" applyFont="1" applyFill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1" fillId="0" borderId="1" xfId="0" applyFont="1" applyFill="1" applyBorder="1" applyAlignment="1">
      <alignment horizontal="center"/>
    </xf>
    <xf numFmtId="0" fontId="3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0" fillId="0" borderId="1" xfId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1" xfId="1" applyFont="1" applyBorder="1" applyAlignment="1">
      <alignment horizontal="center" wrapText="1"/>
    </xf>
    <xf numFmtId="0" fontId="32" fillId="0" borderId="1" xfId="0" applyFont="1" applyFill="1" applyBorder="1" applyAlignment="1">
      <alignment horizontal="center" vertical="center"/>
    </xf>
    <xf numFmtId="168" fontId="22" fillId="0" borderId="1" xfId="4" applyNumberFormat="1" applyFont="1" applyFill="1" applyBorder="1" applyAlignment="1">
      <alignment horizontal="center" vertical="center"/>
    </xf>
    <xf numFmtId="0" fontId="22" fillId="0" borderId="1" xfId="4" applyFont="1" applyFill="1" applyBorder="1" applyAlignment="1">
      <alignment horizontal="center" vertical="center"/>
    </xf>
    <xf numFmtId="165" fontId="22" fillId="0" borderId="1" xfId="4" applyNumberFormat="1" applyFont="1" applyFill="1" applyBorder="1" applyAlignment="1">
      <alignment horizontal="center" vertical="center"/>
    </xf>
    <xf numFmtId="166" fontId="22" fillId="0" borderId="1" xfId="4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1" fontId="22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1" fontId="27" fillId="0" borderId="1" xfId="0" applyNumberFormat="1" applyFont="1" applyFill="1" applyBorder="1" applyAlignment="1">
      <alignment horizontal="center" vertical="center"/>
    </xf>
    <xf numFmtId="2" fontId="27" fillId="0" borderId="1" xfId="0" applyNumberFormat="1" applyFont="1" applyFill="1" applyBorder="1" applyAlignment="1">
      <alignment horizontal="center" vertical="center"/>
    </xf>
    <xf numFmtId="17" fontId="1" fillId="0" borderId="0" xfId="3" applyNumberFormat="1" applyFont="1" applyFill="1" applyAlignment="1"/>
    <xf numFmtId="1" fontId="5" fillId="0" borderId="0" xfId="3" applyNumberFormat="1" applyFill="1" applyAlignment="1"/>
    <xf numFmtId="4" fontId="3" fillId="0" borderId="0" xfId="3" applyNumberFormat="1" applyFont="1" applyFill="1" applyBorder="1" applyAlignment="1"/>
    <xf numFmtId="0" fontId="0" fillId="0" borderId="1" xfId="0" applyFont="1" applyFill="1" applyBorder="1" applyAlignment="1">
      <alignment horizontal="center" vertical="center"/>
    </xf>
    <xf numFmtId="2" fontId="22" fillId="0" borderId="1" xfId="4" applyNumberFormat="1" applyFont="1" applyFill="1" applyBorder="1" applyAlignment="1">
      <alignment horizontal="center" vertical="center"/>
    </xf>
    <xf numFmtId="2" fontId="22" fillId="0" borderId="1" xfId="0" applyNumberFormat="1" applyFont="1" applyFill="1" applyBorder="1" applyAlignment="1">
      <alignment horizontal="center" vertical="center"/>
    </xf>
    <xf numFmtId="2" fontId="2" fillId="0" borderId="1" xfId="3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5" fontId="24" fillId="0" borderId="1" xfId="4" applyNumberFormat="1" applyFont="1" applyBorder="1" applyAlignment="1">
      <alignment horizontal="center" vertical="center"/>
    </xf>
    <xf numFmtId="166" fontId="24" fillId="0" borderId="1" xfId="4" applyNumberFormat="1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2" fontId="24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17" fontId="0" fillId="0" borderId="0" xfId="0" applyNumberFormat="1" applyBorder="1" applyAlignment="1"/>
  </cellXfs>
  <cellStyles count="9">
    <cellStyle name="Normal" xfId="0" builtinId="0"/>
    <cellStyle name="Normal 2" xfId="3"/>
    <cellStyle name="Normal 3" xfId="5"/>
    <cellStyle name="Normal 4" xfId="6"/>
    <cellStyle name="Normal 5" xfId="7"/>
    <cellStyle name="Normal 6" xfId="8"/>
    <cellStyle name="Normal_2016-07 Libros IVA CF" xfId="1"/>
    <cellStyle name="Normal_modelo" xfId="2"/>
    <cellStyle name="Normal_modelo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79"/>
  <sheetViews>
    <sheetView tabSelected="1" topLeftCell="B1" zoomScale="80" zoomScaleNormal="80" workbookViewId="0">
      <selection activeCell="F19" sqref="F19"/>
    </sheetView>
  </sheetViews>
  <sheetFormatPr baseColWidth="10" defaultColWidth="11.5546875" defaultRowHeight="14.4" x14ac:dyDescent="0.3"/>
  <cols>
    <col min="1" max="1" width="11.5546875" style="47"/>
    <col min="2" max="2" width="15.88671875" style="47" bestFit="1" customWidth="1"/>
    <col min="3" max="3" width="15.88671875" style="47" customWidth="1"/>
    <col min="4" max="4" width="16.44140625" style="50" customWidth="1"/>
    <col min="5" max="5" width="35.109375" style="47" customWidth="1"/>
    <col min="6" max="6" width="21.109375" style="47" customWidth="1"/>
    <col min="7" max="7" width="14.6640625" style="47" customWidth="1"/>
    <col min="8" max="8" width="23" style="47" bestFit="1" customWidth="1"/>
    <col min="9" max="9" width="17" style="48" customWidth="1"/>
    <col min="10" max="10" width="16.109375" style="47" customWidth="1"/>
    <col min="11" max="11" width="11.5546875" style="48"/>
    <col min="12" max="16" width="11.5546875" style="47"/>
    <col min="17" max="17" width="11.5546875" style="49"/>
    <col min="18" max="18" width="15.33203125" style="49" customWidth="1"/>
    <col min="19" max="19" width="42.88671875" style="47" customWidth="1"/>
    <col min="20" max="20" width="32.6640625" style="47" customWidth="1"/>
    <col min="21" max="21" width="19.109375" style="47" bestFit="1" customWidth="1"/>
    <col min="22" max="22" width="13.33203125" style="47" bestFit="1" customWidth="1"/>
    <col min="23" max="16384" width="11.5546875" style="47"/>
  </cols>
  <sheetData>
    <row r="1" spans="1:25" x14ac:dyDescent="0.3">
      <c r="D1" s="53"/>
      <c r="F1" s="52"/>
      <c r="H1" s="52"/>
      <c r="S1" s="51"/>
      <c r="T1" s="51"/>
      <c r="U1" s="51"/>
      <c r="V1" s="51"/>
      <c r="W1" s="51"/>
      <c r="X1" s="51"/>
      <c r="Y1" s="51"/>
    </row>
    <row r="2" spans="1:25" x14ac:dyDescent="0.3">
      <c r="A2" s="54" t="s">
        <v>39</v>
      </c>
      <c r="D2" s="60" t="s">
        <v>40</v>
      </c>
      <c r="F2" s="52"/>
      <c r="H2" s="52"/>
      <c r="Q2" s="59" t="s">
        <v>41</v>
      </c>
      <c r="R2" s="59"/>
      <c r="S2" s="51"/>
      <c r="T2" s="51"/>
      <c r="U2" s="51"/>
      <c r="V2" s="51"/>
      <c r="W2" s="51"/>
      <c r="X2" s="51"/>
      <c r="Y2" s="51"/>
    </row>
    <row r="3" spans="1:25" x14ac:dyDescent="0.3">
      <c r="A3" s="3" t="s">
        <v>17</v>
      </c>
      <c r="B3" s="3" t="s">
        <v>86</v>
      </c>
      <c r="D3" s="53"/>
      <c r="F3" s="52"/>
      <c r="H3" s="52"/>
      <c r="S3" s="51"/>
      <c r="T3" s="51"/>
      <c r="U3" s="51"/>
      <c r="V3" s="51"/>
      <c r="W3" s="51"/>
      <c r="X3" s="51"/>
      <c r="Y3" s="51"/>
    </row>
    <row r="4" spans="1:25" x14ac:dyDescent="0.3">
      <c r="A4" s="54" t="s">
        <v>82</v>
      </c>
      <c r="B4" s="88" t="s">
        <v>83</v>
      </c>
      <c r="C4" s="89">
        <v>2026</v>
      </c>
      <c r="D4" s="53"/>
      <c r="F4" s="52"/>
      <c r="K4" s="56"/>
      <c r="L4" s="55"/>
      <c r="S4" s="51"/>
      <c r="T4" s="51"/>
      <c r="U4" s="51"/>
      <c r="V4" s="51"/>
      <c r="W4" s="51"/>
      <c r="X4" s="51"/>
      <c r="Y4" s="51"/>
    </row>
    <row r="5" spans="1:25" x14ac:dyDescent="0.3">
      <c r="A5" s="54"/>
      <c r="B5" s="58"/>
      <c r="C5" s="58"/>
      <c r="D5" s="53"/>
      <c r="E5" s="57"/>
      <c r="F5" s="52"/>
      <c r="G5" s="57"/>
      <c r="H5" s="57"/>
      <c r="S5" s="51"/>
      <c r="T5" s="51"/>
      <c r="U5" s="51"/>
      <c r="V5" s="51"/>
      <c r="W5" s="51"/>
      <c r="X5" s="51"/>
    </row>
    <row r="6" spans="1:25" s="68" customFormat="1" x14ac:dyDescent="0.3">
      <c r="A6" s="69" t="s">
        <v>2</v>
      </c>
      <c r="B6" s="69" t="s">
        <v>3</v>
      </c>
      <c r="C6" s="69" t="s">
        <v>4</v>
      </c>
      <c r="D6" s="69" t="s">
        <v>42</v>
      </c>
      <c r="E6" s="69" t="s">
        <v>43</v>
      </c>
      <c r="F6" s="69" t="s">
        <v>44</v>
      </c>
      <c r="G6" s="69" t="s">
        <v>45</v>
      </c>
      <c r="H6" s="69" t="s">
        <v>46</v>
      </c>
      <c r="I6" s="70" t="s">
        <v>47</v>
      </c>
      <c r="J6" s="69" t="s">
        <v>48</v>
      </c>
      <c r="K6" s="69" t="s">
        <v>49</v>
      </c>
      <c r="L6" s="69" t="s">
        <v>50</v>
      </c>
      <c r="M6" s="69" t="s">
        <v>51</v>
      </c>
      <c r="N6" s="69" t="s">
        <v>52</v>
      </c>
      <c r="O6" s="69" t="s">
        <v>53</v>
      </c>
      <c r="P6" s="69" t="s">
        <v>54</v>
      </c>
      <c r="Q6" s="69" t="s">
        <v>55</v>
      </c>
      <c r="R6" s="69" t="s">
        <v>11</v>
      </c>
    </row>
    <row r="7" spans="1:25" s="68" customFormat="1" x14ac:dyDescent="0.3">
      <c r="A7" s="79">
        <v>46135</v>
      </c>
      <c r="B7" s="80" t="s">
        <v>84</v>
      </c>
      <c r="C7" s="81">
        <v>106</v>
      </c>
      <c r="D7" s="82">
        <v>65</v>
      </c>
      <c r="E7" s="91" t="s">
        <v>87</v>
      </c>
      <c r="F7" s="84" t="s">
        <v>68</v>
      </c>
      <c r="G7" s="80" t="s">
        <v>56</v>
      </c>
      <c r="H7" s="84" t="s">
        <v>115</v>
      </c>
      <c r="I7" s="80" t="s">
        <v>61</v>
      </c>
      <c r="J7" s="92">
        <v>2644.63</v>
      </c>
      <c r="K7" s="92"/>
      <c r="L7" s="92">
        <f>J7*0.21</f>
        <v>555.3723</v>
      </c>
      <c r="M7" s="92"/>
      <c r="N7" s="92"/>
      <c r="O7" s="87"/>
      <c r="P7" s="92"/>
      <c r="Q7" s="92"/>
      <c r="R7" s="87">
        <f>SUM(J7:Q7)</f>
        <v>3200.0023000000001</v>
      </c>
    </row>
    <row r="8" spans="1:25" s="68" customFormat="1" x14ac:dyDescent="0.3">
      <c r="A8" s="79">
        <v>46141</v>
      </c>
      <c r="B8" s="80" t="s">
        <v>84</v>
      </c>
      <c r="C8" s="81">
        <v>92</v>
      </c>
      <c r="D8" s="82">
        <v>1999</v>
      </c>
      <c r="E8" s="91" t="s">
        <v>87</v>
      </c>
      <c r="F8" s="84" t="s">
        <v>69</v>
      </c>
      <c r="G8" s="80" t="s">
        <v>56</v>
      </c>
      <c r="H8" s="84" t="s">
        <v>115</v>
      </c>
      <c r="I8" s="80" t="s">
        <v>61</v>
      </c>
      <c r="J8" s="92">
        <v>2644.63</v>
      </c>
      <c r="K8" s="92"/>
      <c r="L8" s="92">
        <f>J8*0.21</f>
        <v>555.3723</v>
      </c>
      <c r="M8" s="92"/>
      <c r="N8" s="92"/>
      <c r="O8" s="87"/>
      <c r="P8" s="92"/>
      <c r="Q8" s="92"/>
      <c r="R8" s="87">
        <f>SUM(J8:Q8)</f>
        <v>3200.0023000000001</v>
      </c>
    </row>
    <row r="9" spans="1:25" s="68" customFormat="1" x14ac:dyDescent="0.3">
      <c r="A9" s="79">
        <v>46134</v>
      </c>
      <c r="B9" s="80" t="s">
        <v>84</v>
      </c>
      <c r="C9" s="81">
        <v>92</v>
      </c>
      <c r="D9" s="82">
        <v>1958</v>
      </c>
      <c r="E9" s="91" t="s">
        <v>87</v>
      </c>
      <c r="F9" s="84" t="s">
        <v>68</v>
      </c>
      <c r="G9" s="80" t="s">
        <v>56</v>
      </c>
      <c r="H9" s="84" t="s">
        <v>115</v>
      </c>
      <c r="I9" s="80" t="s">
        <v>61</v>
      </c>
      <c r="J9" s="92">
        <v>3842.92</v>
      </c>
      <c r="K9" s="92"/>
      <c r="L9" s="92">
        <f>J9*0.21</f>
        <v>807.01319999999998</v>
      </c>
      <c r="M9" s="92"/>
      <c r="N9" s="92"/>
      <c r="O9" s="87"/>
      <c r="P9" s="92"/>
      <c r="Q9" s="92"/>
      <c r="R9" s="87">
        <f>SUM(J9:Q9)</f>
        <v>4649.9332000000004</v>
      </c>
    </row>
    <row r="10" spans="1:25" s="68" customFormat="1" x14ac:dyDescent="0.3">
      <c r="A10" s="79">
        <v>46129</v>
      </c>
      <c r="B10" s="80" t="s">
        <v>84</v>
      </c>
      <c r="C10" s="81">
        <v>106</v>
      </c>
      <c r="D10" s="82">
        <v>39</v>
      </c>
      <c r="E10" s="91" t="s">
        <v>87</v>
      </c>
      <c r="F10" s="84" t="s">
        <v>68</v>
      </c>
      <c r="G10" s="80" t="s">
        <v>56</v>
      </c>
      <c r="H10" s="84" t="s">
        <v>115</v>
      </c>
      <c r="I10" s="80" t="s">
        <v>61</v>
      </c>
      <c r="J10" s="92">
        <v>3842.97</v>
      </c>
      <c r="K10" s="92"/>
      <c r="L10" s="92">
        <f>J10*0.21</f>
        <v>807.02369999999996</v>
      </c>
      <c r="M10" s="92"/>
      <c r="N10" s="92"/>
      <c r="O10" s="87"/>
      <c r="P10" s="92"/>
      <c r="Q10" s="92"/>
      <c r="R10" s="87">
        <f>SUM(J10:Q10)</f>
        <v>4649.9937</v>
      </c>
    </row>
    <row r="11" spans="1:25" s="68" customFormat="1" x14ac:dyDescent="0.3">
      <c r="A11" s="79">
        <v>46118</v>
      </c>
      <c r="B11" s="80" t="s">
        <v>84</v>
      </c>
      <c r="C11" s="81">
        <v>92</v>
      </c>
      <c r="D11" s="82">
        <v>1865</v>
      </c>
      <c r="E11" s="91" t="s">
        <v>87</v>
      </c>
      <c r="F11" s="84" t="s">
        <v>69</v>
      </c>
      <c r="G11" s="80" t="s">
        <v>56</v>
      </c>
      <c r="H11" s="84" t="s">
        <v>115</v>
      </c>
      <c r="I11" s="80" t="s">
        <v>61</v>
      </c>
      <c r="J11" s="92">
        <v>6446.28</v>
      </c>
      <c r="K11" s="92"/>
      <c r="L11" s="92">
        <f>J11*0.21</f>
        <v>1353.7187999999999</v>
      </c>
      <c r="M11" s="92"/>
      <c r="N11" s="92"/>
      <c r="O11" s="87"/>
      <c r="P11" s="92"/>
      <c r="Q11" s="92"/>
      <c r="R11" s="87">
        <f>SUM(J11:Q11)</f>
        <v>7799.9987999999994</v>
      </c>
    </row>
    <row r="12" spans="1:25" s="68" customFormat="1" x14ac:dyDescent="0.3">
      <c r="A12" s="79">
        <v>46125</v>
      </c>
      <c r="B12" s="80" t="s">
        <v>84</v>
      </c>
      <c r="C12" s="81">
        <v>106</v>
      </c>
      <c r="D12" s="82">
        <v>14</v>
      </c>
      <c r="E12" s="91" t="s">
        <v>87</v>
      </c>
      <c r="F12" s="84" t="s">
        <v>68</v>
      </c>
      <c r="G12" s="80" t="s">
        <v>56</v>
      </c>
      <c r="H12" s="84" t="s">
        <v>115</v>
      </c>
      <c r="I12" s="80" t="s">
        <v>61</v>
      </c>
      <c r="J12" s="92">
        <v>6487.6</v>
      </c>
      <c r="K12" s="92"/>
      <c r="L12" s="92">
        <f>J12*0.21</f>
        <v>1362.396</v>
      </c>
      <c r="M12" s="92"/>
      <c r="N12" s="92"/>
      <c r="O12" s="87"/>
      <c r="P12" s="92"/>
      <c r="Q12" s="92"/>
      <c r="R12" s="87">
        <f>SUM(J12:Q12)</f>
        <v>7849.9960000000001</v>
      </c>
    </row>
    <row r="13" spans="1:25" s="68" customFormat="1" x14ac:dyDescent="0.3">
      <c r="A13" s="79">
        <v>46127</v>
      </c>
      <c r="B13" s="80" t="s">
        <v>84</v>
      </c>
      <c r="C13" s="81">
        <v>106</v>
      </c>
      <c r="D13" s="82">
        <v>23</v>
      </c>
      <c r="E13" s="91" t="s">
        <v>87</v>
      </c>
      <c r="F13" s="84" t="s">
        <v>68</v>
      </c>
      <c r="G13" s="80" t="s">
        <v>56</v>
      </c>
      <c r="H13" s="84" t="s">
        <v>115</v>
      </c>
      <c r="I13" s="80" t="s">
        <v>61</v>
      </c>
      <c r="J13" s="92">
        <v>6487.6</v>
      </c>
      <c r="K13" s="93"/>
      <c r="L13" s="92">
        <f>J13*0.21</f>
        <v>1362.396</v>
      </c>
      <c r="M13" s="87"/>
      <c r="N13" s="87"/>
      <c r="O13" s="87"/>
      <c r="P13" s="87"/>
      <c r="Q13" s="92"/>
      <c r="R13" s="87">
        <f>SUM(J13:Q13)</f>
        <v>7849.9960000000001</v>
      </c>
      <c r="S13" s="64"/>
      <c r="T13" s="64"/>
      <c r="U13" s="64"/>
      <c r="V13" s="64"/>
      <c r="W13" s="64"/>
      <c r="X13" s="64"/>
      <c r="Y13" s="64"/>
    </row>
    <row r="14" spans="1:25" s="68" customFormat="1" x14ac:dyDescent="0.3">
      <c r="A14" s="79">
        <v>46121</v>
      </c>
      <c r="B14" s="80" t="s">
        <v>84</v>
      </c>
      <c r="C14" s="81">
        <v>92</v>
      </c>
      <c r="D14" s="82">
        <v>1896</v>
      </c>
      <c r="E14" s="91" t="s">
        <v>87</v>
      </c>
      <c r="F14" s="84" t="s">
        <v>68</v>
      </c>
      <c r="G14" s="80" t="s">
        <v>56</v>
      </c>
      <c r="H14" s="84" t="s">
        <v>115</v>
      </c>
      <c r="I14" s="80" t="s">
        <v>61</v>
      </c>
      <c r="J14" s="92">
        <v>6487.61</v>
      </c>
      <c r="K14" s="92"/>
      <c r="L14" s="92">
        <f>J14*0.21</f>
        <v>1362.3980999999999</v>
      </c>
      <c r="M14" s="92"/>
      <c r="N14" s="92"/>
      <c r="O14" s="92"/>
      <c r="P14" s="92"/>
      <c r="Q14" s="92"/>
      <c r="R14" s="87">
        <f>SUM(J14:Q14)</f>
        <v>7850.0080999999991</v>
      </c>
    </row>
    <row r="15" spans="1:25" s="68" customFormat="1" x14ac:dyDescent="0.3">
      <c r="A15" s="79">
        <v>46126</v>
      </c>
      <c r="B15" s="80" t="s">
        <v>84</v>
      </c>
      <c r="C15" s="81">
        <v>92</v>
      </c>
      <c r="D15" s="82">
        <v>1909</v>
      </c>
      <c r="E15" s="91" t="s">
        <v>87</v>
      </c>
      <c r="F15" s="84" t="s">
        <v>68</v>
      </c>
      <c r="G15" s="80" t="s">
        <v>56</v>
      </c>
      <c r="H15" s="84" t="s">
        <v>115</v>
      </c>
      <c r="I15" s="80" t="s">
        <v>61</v>
      </c>
      <c r="J15" s="92">
        <v>6487.61</v>
      </c>
      <c r="K15" s="92"/>
      <c r="L15" s="92">
        <f>J15*0.21</f>
        <v>1362.3980999999999</v>
      </c>
      <c r="M15" s="92"/>
      <c r="N15" s="92"/>
      <c r="O15" s="87"/>
      <c r="P15" s="92"/>
      <c r="Q15" s="92"/>
      <c r="R15" s="87">
        <f>SUM(J15:Q15)</f>
        <v>7850.0080999999991</v>
      </c>
    </row>
    <row r="16" spans="1:25" s="68" customFormat="1" x14ac:dyDescent="0.3">
      <c r="A16" s="79">
        <v>46123</v>
      </c>
      <c r="B16" s="80" t="s">
        <v>84</v>
      </c>
      <c r="C16" s="81">
        <v>92</v>
      </c>
      <c r="D16" s="82">
        <v>1900</v>
      </c>
      <c r="E16" s="91" t="s">
        <v>87</v>
      </c>
      <c r="F16" s="84" t="s">
        <v>68</v>
      </c>
      <c r="G16" s="80" t="s">
        <v>56</v>
      </c>
      <c r="H16" s="84" t="s">
        <v>115</v>
      </c>
      <c r="I16" s="80" t="s">
        <v>61</v>
      </c>
      <c r="J16" s="92">
        <v>6487.61</v>
      </c>
      <c r="K16" s="92"/>
      <c r="L16" s="92">
        <f>J16*0.21</f>
        <v>1362.3980999999999</v>
      </c>
      <c r="M16" s="92"/>
      <c r="N16" s="92"/>
      <c r="O16" s="87"/>
      <c r="P16" s="92"/>
      <c r="Q16" s="92"/>
      <c r="R16" s="87">
        <f>SUM(J16:Q16)</f>
        <v>7850.0080999999991</v>
      </c>
      <c r="S16" s="64"/>
      <c r="T16" s="64"/>
      <c r="U16" s="64"/>
      <c r="V16" s="64"/>
      <c r="W16" s="64"/>
      <c r="X16" s="64"/>
      <c r="Y16" s="64"/>
    </row>
    <row r="17" spans="1:18" s="68" customFormat="1" hidden="1" x14ac:dyDescent="0.3">
      <c r="A17" s="79">
        <v>46119</v>
      </c>
      <c r="B17" s="80" t="s">
        <v>84</v>
      </c>
      <c r="C17" s="81">
        <v>275</v>
      </c>
      <c r="D17" s="82">
        <v>11773</v>
      </c>
      <c r="E17" s="91" t="s">
        <v>88</v>
      </c>
      <c r="F17" s="84" t="s">
        <v>69</v>
      </c>
      <c r="G17" s="80" t="s">
        <v>56</v>
      </c>
      <c r="H17" s="84" t="s">
        <v>70</v>
      </c>
      <c r="I17" s="80" t="s">
        <v>66</v>
      </c>
      <c r="J17" s="92">
        <v>71600</v>
      </c>
      <c r="K17" s="92"/>
      <c r="L17" s="92">
        <f>J17*0.21</f>
        <v>15036</v>
      </c>
      <c r="M17" s="92"/>
      <c r="N17" s="92">
        <v>2148</v>
      </c>
      <c r="O17" s="87">
        <v>1790</v>
      </c>
      <c r="P17" s="92">
        <v>1288.8</v>
      </c>
      <c r="Q17" s="92"/>
      <c r="R17" s="87">
        <f>SUM(J17:Q17)</f>
        <v>91862.8</v>
      </c>
    </row>
    <row r="18" spans="1:18" s="68" customFormat="1" hidden="1" x14ac:dyDescent="0.3">
      <c r="A18" s="79">
        <v>46121</v>
      </c>
      <c r="B18" s="80" t="s">
        <v>84</v>
      </c>
      <c r="C18" s="81">
        <v>275</v>
      </c>
      <c r="D18" s="82">
        <v>11777</v>
      </c>
      <c r="E18" s="91" t="s">
        <v>88</v>
      </c>
      <c r="F18" s="84" t="s">
        <v>69</v>
      </c>
      <c r="G18" s="80" t="s">
        <v>56</v>
      </c>
      <c r="H18" s="84" t="s">
        <v>70</v>
      </c>
      <c r="I18" s="80" t="s">
        <v>66</v>
      </c>
      <c r="J18" s="92">
        <v>76800</v>
      </c>
      <c r="K18" s="92"/>
      <c r="L18" s="92">
        <f>J18*0.21</f>
        <v>16128</v>
      </c>
      <c r="M18" s="92"/>
      <c r="N18" s="92">
        <v>2304</v>
      </c>
      <c r="O18" s="87">
        <v>1382.4</v>
      </c>
      <c r="P18" s="92">
        <v>1920</v>
      </c>
      <c r="Q18" s="92"/>
      <c r="R18" s="87">
        <f>SUM(J18:Q18)</f>
        <v>98534.399999999994</v>
      </c>
    </row>
    <row r="19" spans="1:18" s="68" customFormat="1" x14ac:dyDescent="0.3">
      <c r="A19" s="79">
        <v>46128</v>
      </c>
      <c r="B19" s="80" t="s">
        <v>84</v>
      </c>
      <c r="C19" s="81">
        <v>92</v>
      </c>
      <c r="D19" s="82">
        <v>1919</v>
      </c>
      <c r="E19" s="91" t="s">
        <v>87</v>
      </c>
      <c r="F19" s="84" t="s">
        <v>68</v>
      </c>
      <c r="G19" s="80" t="s">
        <v>56</v>
      </c>
      <c r="H19" s="84" t="s">
        <v>115</v>
      </c>
      <c r="I19" s="80" t="s">
        <v>61</v>
      </c>
      <c r="J19" s="92">
        <v>6487.61</v>
      </c>
      <c r="K19" s="92"/>
      <c r="L19" s="92">
        <f>J19*0.21</f>
        <v>1362.3980999999999</v>
      </c>
      <c r="M19" s="92"/>
      <c r="N19" s="92"/>
      <c r="O19" s="87"/>
      <c r="P19" s="92"/>
      <c r="Q19" s="92"/>
      <c r="R19" s="87">
        <f>SUM(J19:Q19)</f>
        <v>7850.0080999999991</v>
      </c>
    </row>
    <row r="20" spans="1:18" s="68" customFormat="1" hidden="1" x14ac:dyDescent="0.3">
      <c r="A20" s="79">
        <v>46126</v>
      </c>
      <c r="B20" s="80" t="s">
        <v>84</v>
      </c>
      <c r="C20" s="81">
        <v>275</v>
      </c>
      <c r="D20" s="82">
        <v>11789</v>
      </c>
      <c r="E20" s="91" t="s">
        <v>88</v>
      </c>
      <c r="F20" s="84" t="s">
        <v>69</v>
      </c>
      <c r="G20" s="80" t="s">
        <v>56</v>
      </c>
      <c r="H20" s="84" t="s">
        <v>70</v>
      </c>
      <c r="I20" s="80" t="s">
        <v>66</v>
      </c>
      <c r="J20" s="92">
        <v>80400</v>
      </c>
      <c r="K20" s="92"/>
      <c r="L20" s="92">
        <f>J20*0.21</f>
        <v>16884</v>
      </c>
      <c r="M20" s="92"/>
      <c r="N20" s="92">
        <v>2412</v>
      </c>
      <c r="O20" s="92">
        <v>1447.2</v>
      </c>
      <c r="P20" s="92">
        <v>2010</v>
      </c>
      <c r="Q20" s="92"/>
      <c r="R20" s="87">
        <f>SUM(J20:Q20)</f>
        <v>103153.2</v>
      </c>
    </row>
    <row r="21" spans="1:18" s="68" customFormat="1" x14ac:dyDescent="0.3">
      <c r="A21" s="79">
        <v>46133</v>
      </c>
      <c r="B21" s="80" t="s">
        <v>84</v>
      </c>
      <c r="C21" s="81">
        <v>92</v>
      </c>
      <c r="D21" s="82">
        <v>6487.61</v>
      </c>
      <c r="E21" s="91" t="s">
        <v>87</v>
      </c>
      <c r="F21" s="84" t="s">
        <v>68</v>
      </c>
      <c r="G21" s="80" t="s">
        <v>56</v>
      </c>
      <c r="H21" s="84" t="s">
        <v>115</v>
      </c>
      <c r="I21" s="80" t="s">
        <v>61</v>
      </c>
      <c r="J21" s="92">
        <v>6487.61</v>
      </c>
      <c r="K21" s="92"/>
      <c r="L21" s="92">
        <f>J21*0.21</f>
        <v>1362.3980999999999</v>
      </c>
      <c r="M21" s="92"/>
      <c r="N21" s="92"/>
      <c r="O21" s="87"/>
      <c r="P21" s="92"/>
      <c r="Q21" s="92"/>
      <c r="R21" s="87">
        <f>SUM(J21:Q21)</f>
        <v>7850.0080999999991</v>
      </c>
    </row>
    <row r="22" spans="1:18" s="68" customFormat="1" x14ac:dyDescent="0.3">
      <c r="A22" s="79">
        <v>46119</v>
      </c>
      <c r="B22" s="80" t="s">
        <v>84</v>
      </c>
      <c r="C22" s="81">
        <v>92</v>
      </c>
      <c r="D22" s="82">
        <v>1880</v>
      </c>
      <c r="E22" s="91" t="s">
        <v>87</v>
      </c>
      <c r="F22" s="84" t="s">
        <v>68</v>
      </c>
      <c r="G22" s="80" t="s">
        <v>56</v>
      </c>
      <c r="H22" s="84" t="s">
        <v>115</v>
      </c>
      <c r="I22" s="80" t="s">
        <v>61</v>
      </c>
      <c r="J22" s="92">
        <v>6746.87</v>
      </c>
      <c r="K22" s="92"/>
      <c r="L22" s="92">
        <f>J22*0.21</f>
        <v>1416.8426999999999</v>
      </c>
      <c r="M22" s="92"/>
      <c r="N22" s="92"/>
      <c r="O22" s="92"/>
      <c r="P22" s="92"/>
      <c r="Q22" s="92">
        <v>36.17</v>
      </c>
      <c r="R22" s="87">
        <f>SUM(J22:Q22)</f>
        <v>8199.8827000000001</v>
      </c>
    </row>
    <row r="23" spans="1:18" s="68" customFormat="1" hidden="1" x14ac:dyDescent="0.3">
      <c r="A23" s="79">
        <v>46123</v>
      </c>
      <c r="B23" s="80" t="s">
        <v>84</v>
      </c>
      <c r="C23" s="81">
        <v>21</v>
      </c>
      <c r="D23" s="82">
        <v>61950</v>
      </c>
      <c r="E23" s="91" t="s">
        <v>89</v>
      </c>
      <c r="F23" s="84" t="s">
        <v>71</v>
      </c>
      <c r="G23" s="80" t="s">
        <v>56</v>
      </c>
      <c r="H23" s="84" t="s">
        <v>85</v>
      </c>
      <c r="I23" s="80" t="s">
        <v>61</v>
      </c>
      <c r="J23" s="92">
        <v>36798.879999999997</v>
      </c>
      <c r="K23" s="92"/>
      <c r="L23" s="92">
        <f>J23*0.21</f>
        <v>7727.764799999999</v>
      </c>
      <c r="M23" s="92"/>
      <c r="N23" s="92"/>
      <c r="O23" s="87"/>
      <c r="P23" s="92"/>
      <c r="Q23" s="92">
        <v>5474.48</v>
      </c>
      <c r="R23" s="87">
        <f>SUM(J23:Q23)</f>
        <v>50001.124799999991</v>
      </c>
    </row>
    <row r="24" spans="1:18" s="68" customFormat="1" hidden="1" x14ac:dyDescent="0.3">
      <c r="A24" s="79">
        <v>46124</v>
      </c>
      <c r="B24" s="80" t="s">
        <v>84</v>
      </c>
      <c r="C24" s="81">
        <v>21</v>
      </c>
      <c r="D24" s="82">
        <v>5102</v>
      </c>
      <c r="E24" s="83" t="s">
        <v>72</v>
      </c>
      <c r="F24" s="84" t="s">
        <v>73</v>
      </c>
      <c r="G24" s="80" t="s">
        <v>56</v>
      </c>
      <c r="H24" s="84" t="s">
        <v>85</v>
      </c>
      <c r="I24" s="80" t="s">
        <v>61</v>
      </c>
      <c r="J24" s="92">
        <v>36826.839999999997</v>
      </c>
      <c r="K24" s="92"/>
      <c r="L24" s="92">
        <f>J24*0.21</f>
        <v>7733.6363999999994</v>
      </c>
      <c r="M24" s="92"/>
      <c r="N24" s="92"/>
      <c r="O24" s="87"/>
      <c r="P24" s="92"/>
      <c r="Q24" s="92">
        <v>5439.47</v>
      </c>
      <c r="R24" s="87">
        <f>SUM(J24:Q24)</f>
        <v>49999.946400000001</v>
      </c>
    </row>
    <row r="25" spans="1:18" s="68" customFormat="1" hidden="1" x14ac:dyDescent="0.3">
      <c r="A25" s="79">
        <v>46127</v>
      </c>
      <c r="B25" s="80" t="s">
        <v>84</v>
      </c>
      <c r="C25" s="81">
        <v>5</v>
      </c>
      <c r="D25" s="82">
        <v>16292</v>
      </c>
      <c r="E25" s="83" t="s">
        <v>72</v>
      </c>
      <c r="F25" s="84" t="s">
        <v>73</v>
      </c>
      <c r="G25" s="80" t="s">
        <v>56</v>
      </c>
      <c r="H25" s="84" t="s">
        <v>85</v>
      </c>
      <c r="I25" s="80" t="s">
        <v>61</v>
      </c>
      <c r="J25" s="92">
        <v>29461.439999999999</v>
      </c>
      <c r="K25" s="92"/>
      <c r="L25" s="92">
        <f>J25*0.21</f>
        <v>6186.9023999999999</v>
      </c>
      <c r="M25" s="92"/>
      <c r="N25" s="92"/>
      <c r="O25" s="87"/>
      <c r="P25" s="92"/>
      <c r="Q25" s="92">
        <v>4351.57</v>
      </c>
      <c r="R25" s="87">
        <f>SUM(J25:Q25)</f>
        <v>39999.912400000001</v>
      </c>
    </row>
    <row r="26" spans="1:18" s="68" customFormat="1" x14ac:dyDescent="0.3">
      <c r="A26" s="79">
        <v>46137</v>
      </c>
      <c r="B26" s="80" t="s">
        <v>84</v>
      </c>
      <c r="C26" s="81">
        <v>92</v>
      </c>
      <c r="D26" s="82">
        <v>1980</v>
      </c>
      <c r="E26" s="91" t="s">
        <v>87</v>
      </c>
      <c r="F26" s="84" t="s">
        <v>68</v>
      </c>
      <c r="G26" s="80" t="s">
        <v>56</v>
      </c>
      <c r="H26" s="84" t="s">
        <v>115</v>
      </c>
      <c r="I26" s="80" t="s">
        <v>61</v>
      </c>
      <c r="J26" s="92">
        <v>8264.4599999999991</v>
      </c>
      <c r="K26" s="92"/>
      <c r="L26" s="92">
        <f>J26*0.21</f>
        <v>1735.5365999999997</v>
      </c>
      <c r="M26" s="92"/>
      <c r="N26" s="92"/>
      <c r="O26" s="87"/>
      <c r="P26" s="92"/>
      <c r="Q26" s="92"/>
      <c r="R26" s="87">
        <f>SUM(J26:Q26)</f>
        <v>9999.9965999999986</v>
      </c>
    </row>
    <row r="27" spans="1:18" s="68" customFormat="1" x14ac:dyDescent="0.3">
      <c r="A27" s="79">
        <v>46135</v>
      </c>
      <c r="B27" s="80" t="s">
        <v>84</v>
      </c>
      <c r="C27" s="81">
        <v>106</v>
      </c>
      <c r="D27" s="82">
        <v>63</v>
      </c>
      <c r="E27" s="91" t="s">
        <v>87</v>
      </c>
      <c r="F27" s="84" t="s">
        <v>68</v>
      </c>
      <c r="G27" s="80" t="s">
        <v>56</v>
      </c>
      <c r="H27" s="84" t="s">
        <v>115</v>
      </c>
      <c r="I27" s="80" t="s">
        <v>61</v>
      </c>
      <c r="J27" s="92">
        <v>9338.84</v>
      </c>
      <c r="K27" s="92"/>
      <c r="L27" s="92">
        <f>J27*0.21</f>
        <v>1961.1563999999998</v>
      </c>
      <c r="M27" s="92"/>
      <c r="N27" s="92"/>
      <c r="O27" s="87"/>
      <c r="P27" s="92"/>
      <c r="Q27" s="92"/>
      <c r="R27" s="87">
        <f>SUM(J27:Q27)</f>
        <v>11299.9964</v>
      </c>
    </row>
    <row r="28" spans="1:18" s="68" customFormat="1" hidden="1" x14ac:dyDescent="0.3">
      <c r="A28" s="79">
        <v>46128</v>
      </c>
      <c r="B28" s="80" t="s">
        <v>84</v>
      </c>
      <c r="C28" s="81">
        <v>21</v>
      </c>
      <c r="D28" s="82">
        <v>62101</v>
      </c>
      <c r="E28" s="91" t="s">
        <v>89</v>
      </c>
      <c r="F28" s="84" t="s">
        <v>71</v>
      </c>
      <c r="G28" s="80" t="s">
        <v>56</v>
      </c>
      <c r="H28" s="84" t="s">
        <v>85</v>
      </c>
      <c r="I28" s="80" t="s">
        <v>61</v>
      </c>
      <c r="J28" s="92">
        <v>36798.879999999997</v>
      </c>
      <c r="K28" s="92"/>
      <c r="L28" s="92">
        <f>J28*0.21</f>
        <v>7727.764799999999</v>
      </c>
      <c r="M28" s="92"/>
      <c r="N28" s="92"/>
      <c r="O28" s="87"/>
      <c r="P28" s="92"/>
      <c r="Q28" s="92">
        <v>5474.48</v>
      </c>
      <c r="R28" s="87">
        <f>SUM(J28:Q28)</f>
        <v>50001.124799999991</v>
      </c>
    </row>
    <row r="29" spans="1:18" s="68" customFormat="1" x14ac:dyDescent="0.3">
      <c r="A29" s="79">
        <v>46132</v>
      </c>
      <c r="B29" s="80" t="s">
        <v>84</v>
      </c>
      <c r="C29" s="81">
        <v>93</v>
      </c>
      <c r="D29" s="82">
        <v>6566</v>
      </c>
      <c r="E29" s="91" t="s">
        <v>87</v>
      </c>
      <c r="F29" s="84" t="s">
        <v>68</v>
      </c>
      <c r="G29" s="80" t="s">
        <v>56</v>
      </c>
      <c r="H29" s="84" t="s">
        <v>85</v>
      </c>
      <c r="I29" s="80" t="s">
        <v>61</v>
      </c>
      <c r="J29" s="92">
        <v>16755.509999999998</v>
      </c>
      <c r="K29" s="92"/>
      <c r="L29" s="92">
        <f>J29*0.21</f>
        <v>3518.6570999999994</v>
      </c>
      <c r="M29" s="92"/>
      <c r="N29" s="92"/>
      <c r="O29" s="87"/>
      <c r="P29" s="92"/>
      <c r="Q29" s="92">
        <v>2733.11</v>
      </c>
      <c r="R29" s="87">
        <f>SUM(J29:Q29)</f>
        <v>23007.277099999999</v>
      </c>
    </row>
    <row r="30" spans="1:18" s="68" customFormat="1" x14ac:dyDescent="0.3">
      <c r="A30" s="79">
        <v>46142</v>
      </c>
      <c r="B30" s="80" t="s">
        <v>84</v>
      </c>
      <c r="C30" s="81">
        <v>85</v>
      </c>
      <c r="D30" s="82">
        <v>90529</v>
      </c>
      <c r="E30" s="91" t="s">
        <v>87</v>
      </c>
      <c r="F30" s="84" t="s">
        <v>69</v>
      </c>
      <c r="G30" s="80" t="s">
        <v>56</v>
      </c>
      <c r="H30" s="84" t="s">
        <v>85</v>
      </c>
      <c r="I30" s="80" t="s">
        <v>61</v>
      </c>
      <c r="J30" s="92">
        <v>18201.16</v>
      </c>
      <c r="K30" s="92"/>
      <c r="L30" s="92">
        <f>J30*0.21</f>
        <v>3822.2435999999998</v>
      </c>
      <c r="M30" s="92"/>
      <c r="N30" s="92"/>
      <c r="O30" s="87"/>
      <c r="P30" s="92"/>
      <c r="Q30" s="92">
        <v>2976.52</v>
      </c>
      <c r="R30" s="87">
        <f>SUM(J30:Q30)</f>
        <v>24999.923599999998</v>
      </c>
    </row>
    <row r="31" spans="1:18" s="68" customFormat="1" x14ac:dyDescent="0.3">
      <c r="A31" s="79">
        <v>46142</v>
      </c>
      <c r="B31" s="80" t="s">
        <v>84</v>
      </c>
      <c r="C31" s="81">
        <v>79</v>
      </c>
      <c r="D31" s="82">
        <v>67550</v>
      </c>
      <c r="E31" s="91" t="s">
        <v>87</v>
      </c>
      <c r="F31" s="84" t="s">
        <v>69</v>
      </c>
      <c r="G31" s="80" t="s">
        <v>56</v>
      </c>
      <c r="H31" s="84" t="s">
        <v>85</v>
      </c>
      <c r="I31" s="80" t="s">
        <v>61</v>
      </c>
      <c r="J31" s="92">
        <v>21841.46</v>
      </c>
      <c r="K31" s="92"/>
      <c r="L31" s="92">
        <f>J31*0.21</f>
        <v>4586.7065999999995</v>
      </c>
      <c r="M31" s="92"/>
      <c r="N31" s="92"/>
      <c r="O31" s="87"/>
      <c r="P31" s="92"/>
      <c r="Q31" s="92">
        <v>3571.83</v>
      </c>
      <c r="R31" s="87">
        <f>SUM(J31:Q31)</f>
        <v>29999.996599999999</v>
      </c>
    </row>
    <row r="32" spans="1:18" s="68" customFormat="1" x14ac:dyDescent="0.3">
      <c r="A32" s="79">
        <v>46140</v>
      </c>
      <c r="B32" s="80" t="s">
        <v>84</v>
      </c>
      <c r="C32" s="81">
        <v>81</v>
      </c>
      <c r="D32" s="82">
        <v>10491</v>
      </c>
      <c r="E32" s="91" t="s">
        <v>87</v>
      </c>
      <c r="F32" s="84" t="s">
        <v>69</v>
      </c>
      <c r="G32" s="80" t="s">
        <v>56</v>
      </c>
      <c r="H32" s="84" t="s">
        <v>85</v>
      </c>
      <c r="I32" s="80" t="s">
        <v>61</v>
      </c>
      <c r="J32" s="92">
        <v>21842.1</v>
      </c>
      <c r="K32" s="92"/>
      <c r="L32" s="92">
        <f>J32*0.21</f>
        <v>4586.8409999999994</v>
      </c>
      <c r="M32" s="92"/>
      <c r="N32" s="92"/>
      <c r="O32" s="87"/>
      <c r="P32" s="92"/>
      <c r="Q32" s="92">
        <v>3571.94</v>
      </c>
      <c r="R32" s="87">
        <f>SUM(J32:Q32)</f>
        <v>30000.880999999998</v>
      </c>
    </row>
    <row r="33" spans="1:25" s="68" customFormat="1" hidden="1" x14ac:dyDescent="0.3">
      <c r="A33" s="79">
        <v>46126</v>
      </c>
      <c r="B33" s="80" t="s">
        <v>84</v>
      </c>
      <c r="C33" s="81">
        <v>5</v>
      </c>
      <c r="D33" s="82">
        <v>16332</v>
      </c>
      <c r="E33" s="83" t="s">
        <v>72</v>
      </c>
      <c r="F33" s="84" t="s">
        <v>73</v>
      </c>
      <c r="G33" s="80" t="s">
        <v>56</v>
      </c>
      <c r="H33" s="84" t="s">
        <v>85</v>
      </c>
      <c r="I33" s="80" t="s">
        <v>61</v>
      </c>
      <c r="J33" s="92">
        <v>29461.439999999999</v>
      </c>
      <c r="K33" s="92"/>
      <c r="L33" s="92">
        <f>J33*0.21</f>
        <v>6186.9023999999999</v>
      </c>
      <c r="M33" s="92"/>
      <c r="N33" s="92"/>
      <c r="O33" s="87"/>
      <c r="P33" s="92"/>
      <c r="Q33" s="92">
        <v>4351.57</v>
      </c>
      <c r="R33" s="87">
        <f>SUM(J33:Q33)</f>
        <v>39999.912400000001</v>
      </c>
    </row>
    <row r="34" spans="1:25" s="68" customFormat="1" x14ac:dyDescent="0.3">
      <c r="A34" s="79">
        <v>46136</v>
      </c>
      <c r="B34" s="80" t="s">
        <v>84</v>
      </c>
      <c r="C34" s="81">
        <v>93</v>
      </c>
      <c r="D34" s="82">
        <v>6713</v>
      </c>
      <c r="E34" s="91" t="s">
        <v>87</v>
      </c>
      <c r="F34" s="84" t="s">
        <v>68</v>
      </c>
      <c r="G34" s="80" t="s">
        <v>56</v>
      </c>
      <c r="H34" s="84" t="s">
        <v>85</v>
      </c>
      <c r="I34" s="80" t="s">
        <v>61</v>
      </c>
      <c r="J34" s="92">
        <v>21849.38</v>
      </c>
      <c r="K34" s="92"/>
      <c r="L34" s="92">
        <f>J34*0.21</f>
        <v>4588.3698000000004</v>
      </c>
      <c r="M34" s="92"/>
      <c r="N34" s="92"/>
      <c r="O34" s="87"/>
      <c r="P34" s="92"/>
      <c r="Q34" s="92">
        <v>3564.01</v>
      </c>
      <c r="R34" s="87">
        <f>SUM(J34:Q34)</f>
        <v>30001.7598</v>
      </c>
    </row>
    <row r="35" spans="1:25" s="68" customFormat="1" hidden="1" x14ac:dyDescent="0.3">
      <c r="A35" s="79">
        <v>46128</v>
      </c>
      <c r="B35" s="80" t="s">
        <v>84</v>
      </c>
      <c r="C35" s="81">
        <v>281</v>
      </c>
      <c r="D35" s="82">
        <v>5117</v>
      </c>
      <c r="E35" s="91" t="s">
        <v>88</v>
      </c>
      <c r="F35" s="84" t="s">
        <v>69</v>
      </c>
      <c r="G35" s="80" t="s">
        <v>56</v>
      </c>
      <c r="H35" s="84" t="s">
        <v>70</v>
      </c>
      <c r="I35" s="80" t="s">
        <v>66</v>
      </c>
      <c r="J35" s="92">
        <v>234252</v>
      </c>
      <c r="K35" s="92"/>
      <c r="L35" s="92">
        <f>J35*0.21</f>
        <v>49192.92</v>
      </c>
      <c r="M35" s="92"/>
      <c r="N35" s="92">
        <v>7027.56</v>
      </c>
      <c r="O35" s="87">
        <v>4216.54</v>
      </c>
      <c r="P35" s="92">
        <v>5956.3</v>
      </c>
      <c r="Q35" s="92"/>
      <c r="R35" s="87">
        <f>SUM(J35:Q35)</f>
        <v>300645.31999999995</v>
      </c>
    </row>
    <row r="36" spans="1:25" s="68" customFormat="1" hidden="1" x14ac:dyDescent="0.3">
      <c r="A36" s="79">
        <v>46132</v>
      </c>
      <c r="B36" s="80" t="s">
        <v>84</v>
      </c>
      <c r="C36" s="81">
        <v>5</v>
      </c>
      <c r="D36" s="82">
        <v>16360</v>
      </c>
      <c r="E36" s="83" t="s">
        <v>72</v>
      </c>
      <c r="F36" s="84" t="s">
        <v>73</v>
      </c>
      <c r="G36" s="80" t="s">
        <v>56</v>
      </c>
      <c r="H36" s="84" t="s">
        <v>85</v>
      </c>
      <c r="I36" s="80" t="s">
        <v>61</v>
      </c>
      <c r="J36" s="92">
        <v>22096.21</v>
      </c>
      <c r="K36" s="92"/>
      <c r="L36" s="92">
        <f>J36*0.21</f>
        <v>4640.2040999999999</v>
      </c>
      <c r="M36" s="92"/>
      <c r="N36" s="92"/>
      <c r="O36" s="87"/>
      <c r="P36" s="92"/>
      <c r="Q36" s="92">
        <v>3263.69</v>
      </c>
      <c r="R36" s="87">
        <f>SUM(J36:Q36)</f>
        <v>30000.104099999997</v>
      </c>
    </row>
    <row r="37" spans="1:25" s="68" customFormat="1" x14ac:dyDescent="0.3">
      <c r="A37" s="79">
        <v>46126</v>
      </c>
      <c r="B37" s="80" t="s">
        <v>84</v>
      </c>
      <c r="C37" s="81">
        <v>79</v>
      </c>
      <c r="D37" s="82">
        <v>66063</v>
      </c>
      <c r="E37" s="91" t="s">
        <v>87</v>
      </c>
      <c r="F37" s="84" t="s">
        <v>68</v>
      </c>
      <c r="G37" s="80" t="s">
        <v>56</v>
      </c>
      <c r="H37" s="84" t="s">
        <v>85</v>
      </c>
      <c r="I37" s="80" t="s">
        <v>61</v>
      </c>
      <c r="J37" s="92">
        <v>21852.62</v>
      </c>
      <c r="K37" s="92"/>
      <c r="L37" s="92">
        <f>J37*0.21</f>
        <v>4589.0501999999997</v>
      </c>
      <c r="M37" s="92"/>
      <c r="N37" s="92"/>
      <c r="O37" s="87"/>
      <c r="P37" s="92"/>
      <c r="Q37" s="92">
        <v>3564.54</v>
      </c>
      <c r="R37" s="87">
        <f>SUM(J37:Q37)</f>
        <v>30006.210200000001</v>
      </c>
      <c r="S37" s="64"/>
      <c r="T37" s="64"/>
      <c r="U37" s="64"/>
      <c r="V37" s="64"/>
      <c r="W37" s="64"/>
      <c r="X37" s="64"/>
      <c r="Y37" s="64"/>
    </row>
    <row r="38" spans="1:25" s="68" customFormat="1" x14ac:dyDescent="0.3">
      <c r="A38" s="79">
        <v>46113</v>
      </c>
      <c r="B38" s="80" t="s">
        <v>84</v>
      </c>
      <c r="C38" s="81">
        <v>79</v>
      </c>
      <c r="D38" s="82">
        <v>65213</v>
      </c>
      <c r="E38" s="91" t="s">
        <v>87</v>
      </c>
      <c r="F38" s="84" t="s">
        <v>68</v>
      </c>
      <c r="G38" s="80" t="s">
        <v>56</v>
      </c>
      <c r="H38" s="84" t="s">
        <v>85</v>
      </c>
      <c r="I38" s="80" t="s">
        <v>61</v>
      </c>
      <c r="J38" s="92">
        <v>25504.98</v>
      </c>
      <c r="K38" s="92"/>
      <c r="L38" s="92">
        <f>J38*0.21</f>
        <v>5356.0457999999999</v>
      </c>
      <c r="M38" s="92"/>
      <c r="N38" s="92"/>
      <c r="O38" s="92"/>
      <c r="P38" s="92"/>
      <c r="Q38" s="87">
        <v>4160.3100000000004</v>
      </c>
      <c r="R38" s="87">
        <f>SUM(J38:Q38)</f>
        <v>35021.335800000001</v>
      </c>
    </row>
    <row r="39" spans="1:25" s="68" customFormat="1" x14ac:dyDescent="0.3">
      <c r="A39" s="79">
        <v>46121</v>
      </c>
      <c r="B39" s="80" t="s">
        <v>84</v>
      </c>
      <c r="C39" s="81">
        <v>79</v>
      </c>
      <c r="D39" s="82">
        <v>65633</v>
      </c>
      <c r="E39" s="91" t="s">
        <v>87</v>
      </c>
      <c r="F39" s="84" t="s">
        <v>68</v>
      </c>
      <c r="G39" s="80" t="s">
        <v>56</v>
      </c>
      <c r="H39" s="84" t="s">
        <v>85</v>
      </c>
      <c r="I39" s="80" t="s">
        <v>61</v>
      </c>
      <c r="J39" s="92">
        <v>29129.8</v>
      </c>
      <c r="K39" s="92"/>
      <c r="L39" s="92">
        <f>J39*0.21</f>
        <v>6117.2579999999998</v>
      </c>
      <c r="M39" s="92"/>
      <c r="N39" s="92"/>
      <c r="O39" s="92"/>
      <c r="P39" s="92"/>
      <c r="Q39" s="92">
        <v>4751.58</v>
      </c>
      <c r="R39" s="87">
        <f>SUM(J39:Q39)</f>
        <v>39998.637999999999</v>
      </c>
    </row>
    <row r="40" spans="1:25" s="68" customFormat="1" x14ac:dyDescent="0.3">
      <c r="A40" s="79">
        <v>46134</v>
      </c>
      <c r="B40" s="80" t="s">
        <v>84</v>
      </c>
      <c r="C40" s="81">
        <v>7</v>
      </c>
      <c r="D40" s="82">
        <v>6637</v>
      </c>
      <c r="E40" s="91" t="s">
        <v>87</v>
      </c>
      <c r="F40" s="84" t="s">
        <v>68</v>
      </c>
      <c r="G40" s="80" t="s">
        <v>56</v>
      </c>
      <c r="H40" s="84" t="s">
        <v>85</v>
      </c>
      <c r="I40" s="80" t="s">
        <v>61</v>
      </c>
      <c r="J40" s="92">
        <v>29461.439999999999</v>
      </c>
      <c r="K40" s="92"/>
      <c r="L40" s="92">
        <f>J40*0.21</f>
        <v>6186.9023999999999</v>
      </c>
      <c r="M40" s="92"/>
      <c r="N40" s="92"/>
      <c r="O40" s="87"/>
      <c r="P40" s="92"/>
      <c r="Q40" s="92">
        <v>4351.57</v>
      </c>
      <c r="R40" s="87">
        <f>SUM(J40:Q40)</f>
        <v>39999.912400000001</v>
      </c>
    </row>
    <row r="41" spans="1:25" s="68" customFormat="1" x14ac:dyDescent="0.3">
      <c r="A41" s="79">
        <v>46119</v>
      </c>
      <c r="B41" s="80" t="s">
        <v>84</v>
      </c>
      <c r="C41" s="81">
        <v>93</v>
      </c>
      <c r="D41" s="82">
        <v>6198</v>
      </c>
      <c r="E41" s="91" t="s">
        <v>87</v>
      </c>
      <c r="F41" s="84" t="s">
        <v>68</v>
      </c>
      <c r="G41" s="80" t="s">
        <v>56</v>
      </c>
      <c r="H41" s="84" t="s">
        <v>85</v>
      </c>
      <c r="I41" s="80" t="s">
        <v>61</v>
      </c>
      <c r="J41" s="92">
        <v>29444.89</v>
      </c>
      <c r="K41" s="93"/>
      <c r="L41" s="92">
        <f>J41*0.21</f>
        <v>6183.4268999999995</v>
      </c>
      <c r="M41" s="87"/>
      <c r="N41" s="87"/>
      <c r="O41" s="87"/>
      <c r="P41" s="87"/>
      <c r="Q41" s="92">
        <v>4372.04</v>
      </c>
      <c r="R41" s="87">
        <f>SUM(J41:Q41)</f>
        <v>40000.356899999999</v>
      </c>
    </row>
    <row r="42" spans="1:25" s="68" customFormat="1" x14ac:dyDescent="0.3">
      <c r="A42" s="79">
        <v>46120</v>
      </c>
      <c r="B42" s="80" t="s">
        <v>84</v>
      </c>
      <c r="C42" s="81">
        <v>79</v>
      </c>
      <c r="D42" s="82">
        <v>65541</v>
      </c>
      <c r="E42" s="91" t="s">
        <v>87</v>
      </c>
      <c r="F42" s="84" t="s">
        <v>68</v>
      </c>
      <c r="G42" s="80" t="s">
        <v>56</v>
      </c>
      <c r="H42" s="84" t="s">
        <v>85</v>
      </c>
      <c r="I42" s="80" t="s">
        <v>61</v>
      </c>
      <c r="J42" s="92">
        <v>29131.42</v>
      </c>
      <c r="K42" s="92"/>
      <c r="L42" s="92">
        <f>J42*0.21</f>
        <v>6117.5981999999995</v>
      </c>
      <c r="M42" s="92"/>
      <c r="N42" s="92"/>
      <c r="O42" s="92"/>
      <c r="P42" s="92"/>
      <c r="Q42" s="92">
        <v>4751.84</v>
      </c>
      <c r="R42" s="87">
        <f>SUM(J42:Q42)</f>
        <v>40000.858200000002</v>
      </c>
    </row>
    <row r="43" spans="1:25" s="68" customFormat="1" x14ac:dyDescent="0.3">
      <c r="A43" s="79">
        <v>46128</v>
      </c>
      <c r="B43" s="80" t="s">
        <v>84</v>
      </c>
      <c r="C43" s="81">
        <v>93</v>
      </c>
      <c r="D43" s="82">
        <v>6460</v>
      </c>
      <c r="E43" s="91" t="s">
        <v>87</v>
      </c>
      <c r="F43" s="84" t="s">
        <v>68</v>
      </c>
      <c r="G43" s="80" t="s">
        <v>56</v>
      </c>
      <c r="H43" s="84" t="s">
        <v>85</v>
      </c>
      <c r="I43" s="80" t="s">
        <v>61</v>
      </c>
      <c r="J43" s="92">
        <v>29131.42</v>
      </c>
      <c r="K43" s="92"/>
      <c r="L43" s="92">
        <f>J43*0.21</f>
        <v>6117.5981999999995</v>
      </c>
      <c r="M43" s="92"/>
      <c r="N43" s="92"/>
      <c r="O43" s="87"/>
      <c r="P43" s="92"/>
      <c r="Q43" s="92">
        <v>4751.84</v>
      </c>
      <c r="R43" s="87">
        <f>SUM(J43:Q43)</f>
        <v>40000.858200000002</v>
      </c>
    </row>
    <row r="44" spans="1:25" s="68" customFormat="1" x14ac:dyDescent="0.3">
      <c r="A44" s="79">
        <v>46134</v>
      </c>
      <c r="B44" s="80" t="s">
        <v>84</v>
      </c>
      <c r="C44" s="81">
        <v>85</v>
      </c>
      <c r="D44" s="82">
        <v>90150</v>
      </c>
      <c r="E44" s="91" t="s">
        <v>87</v>
      </c>
      <c r="F44" s="84" t="s">
        <v>68</v>
      </c>
      <c r="G44" s="80" t="s">
        <v>56</v>
      </c>
      <c r="H44" s="84" t="s">
        <v>85</v>
      </c>
      <c r="I44" s="80" t="s">
        <v>61</v>
      </c>
      <c r="J44" s="92">
        <v>29131.42</v>
      </c>
      <c r="K44" s="92"/>
      <c r="L44" s="92">
        <f>J44*0.21</f>
        <v>6117.5981999999995</v>
      </c>
      <c r="M44" s="92"/>
      <c r="N44" s="92"/>
      <c r="O44" s="87"/>
      <c r="P44" s="92"/>
      <c r="Q44" s="92">
        <v>4751.84</v>
      </c>
      <c r="R44" s="87">
        <f>SUM(J44:Q44)</f>
        <v>40000.858200000002</v>
      </c>
    </row>
    <row r="45" spans="1:25" s="68" customFormat="1" x14ac:dyDescent="0.3">
      <c r="A45" s="79">
        <v>46122</v>
      </c>
      <c r="B45" s="80" t="s">
        <v>84</v>
      </c>
      <c r="C45" s="81">
        <v>79</v>
      </c>
      <c r="D45" s="82">
        <v>65732</v>
      </c>
      <c r="E45" s="91" t="s">
        <v>87</v>
      </c>
      <c r="F45" s="84" t="s">
        <v>68</v>
      </c>
      <c r="G45" s="80" t="s">
        <v>56</v>
      </c>
      <c r="H45" s="84" t="s">
        <v>85</v>
      </c>
      <c r="I45" s="80" t="s">
        <v>61</v>
      </c>
      <c r="J45" s="92">
        <v>29133.040000000001</v>
      </c>
      <c r="K45" s="92"/>
      <c r="L45" s="92">
        <f>J45*0.21</f>
        <v>6117.9384</v>
      </c>
      <c r="M45" s="92"/>
      <c r="N45" s="92"/>
      <c r="O45" s="92"/>
      <c r="P45" s="92"/>
      <c r="Q45" s="92">
        <v>4752.1099999999997</v>
      </c>
      <c r="R45" s="87">
        <f>SUM(J45:Q45)</f>
        <v>40003.088400000001</v>
      </c>
    </row>
    <row r="46" spans="1:25" s="68" customFormat="1" hidden="1" x14ac:dyDescent="0.3">
      <c r="A46" s="79">
        <v>46135</v>
      </c>
      <c r="B46" s="80" t="s">
        <v>84</v>
      </c>
      <c r="C46" s="81">
        <v>45</v>
      </c>
      <c r="D46" s="82">
        <v>5869</v>
      </c>
      <c r="E46" s="91" t="s">
        <v>89</v>
      </c>
      <c r="F46" s="84" t="s">
        <v>71</v>
      </c>
      <c r="G46" s="80" t="s">
        <v>56</v>
      </c>
      <c r="H46" s="84" t="s">
        <v>85</v>
      </c>
      <c r="I46" s="80" t="s">
        <v>61</v>
      </c>
      <c r="J46" s="92">
        <v>36798.89</v>
      </c>
      <c r="K46" s="92"/>
      <c r="L46" s="92">
        <f>J46*0.21</f>
        <v>7727.7668999999996</v>
      </c>
      <c r="M46" s="92"/>
      <c r="N46" s="92"/>
      <c r="O46" s="87"/>
      <c r="P46" s="92"/>
      <c r="Q46" s="92">
        <f>4914.35+560.12</f>
        <v>5474.47</v>
      </c>
      <c r="R46" s="87">
        <f>SUM(J46:Q46)</f>
        <v>50001.126900000003</v>
      </c>
    </row>
    <row r="47" spans="1:25" s="68" customFormat="1" x14ac:dyDescent="0.3">
      <c r="A47" s="79">
        <v>46125</v>
      </c>
      <c r="B47" s="80" t="s">
        <v>84</v>
      </c>
      <c r="C47" s="81">
        <v>79</v>
      </c>
      <c r="D47" s="82">
        <v>65944</v>
      </c>
      <c r="E47" s="91" t="s">
        <v>87</v>
      </c>
      <c r="F47" s="84" t="s">
        <v>68</v>
      </c>
      <c r="G47" s="80" t="s">
        <v>56</v>
      </c>
      <c r="H47" s="84" t="s">
        <v>85</v>
      </c>
      <c r="I47" s="80" t="s">
        <v>61</v>
      </c>
      <c r="J47" s="92">
        <v>29133.040000000001</v>
      </c>
      <c r="K47" s="92"/>
      <c r="L47" s="92">
        <f>J47*0.21</f>
        <v>6117.9384</v>
      </c>
      <c r="M47" s="92"/>
      <c r="N47" s="92"/>
      <c r="O47" s="87"/>
      <c r="P47" s="92"/>
      <c r="Q47" s="92">
        <v>4752.1099999999997</v>
      </c>
      <c r="R47" s="87">
        <f>SUM(J47:Q47)</f>
        <v>40003.088400000001</v>
      </c>
    </row>
    <row r="48" spans="1:25" s="68" customFormat="1" x14ac:dyDescent="0.3">
      <c r="A48" s="79">
        <v>46139</v>
      </c>
      <c r="B48" s="80" t="s">
        <v>84</v>
      </c>
      <c r="C48" s="81">
        <v>79</v>
      </c>
      <c r="D48" s="82">
        <v>67165</v>
      </c>
      <c r="E48" s="91" t="s">
        <v>87</v>
      </c>
      <c r="F48" s="84" t="s">
        <v>68</v>
      </c>
      <c r="G48" s="80" t="s">
        <v>56</v>
      </c>
      <c r="H48" s="84" t="s">
        <v>85</v>
      </c>
      <c r="I48" s="80" t="s">
        <v>61</v>
      </c>
      <c r="J48" s="92">
        <v>29133.040000000001</v>
      </c>
      <c r="K48" s="92"/>
      <c r="L48" s="92">
        <f>J48*0.21</f>
        <v>6117.9384</v>
      </c>
      <c r="M48" s="92"/>
      <c r="N48" s="92"/>
      <c r="O48" s="87"/>
      <c r="P48" s="92"/>
      <c r="Q48" s="92">
        <v>4752.1099999999997</v>
      </c>
      <c r="R48" s="87">
        <f>SUM(J48:Q48)</f>
        <v>40003.088400000001</v>
      </c>
      <c r="S48" s="64"/>
      <c r="T48" s="64"/>
      <c r="U48" s="64"/>
      <c r="V48" s="64"/>
      <c r="W48" s="64"/>
      <c r="X48" s="64"/>
      <c r="Y48" s="64"/>
    </row>
    <row r="49" spans="1:25" s="68" customFormat="1" x14ac:dyDescent="0.3">
      <c r="A49" s="79">
        <v>46135</v>
      </c>
      <c r="B49" s="80" t="s">
        <v>84</v>
      </c>
      <c r="C49" s="81">
        <v>79</v>
      </c>
      <c r="D49" s="82">
        <v>66901</v>
      </c>
      <c r="E49" s="91" t="s">
        <v>87</v>
      </c>
      <c r="F49" s="84" t="s">
        <v>68</v>
      </c>
      <c r="G49" s="80" t="s">
        <v>56</v>
      </c>
      <c r="H49" s="84" t="s">
        <v>85</v>
      </c>
      <c r="I49" s="80" t="s">
        <v>61</v>
      </c>
      <c r="J49" s="92">
        <v>29137.9</v>
      </c>
      <c r="K49" s="92"/>
      <c r="L49" s="92">
        <f>J49*0.21</f>
        <v>6118.9589999999998</v>
      </c>
      <c r="M49" s="92"/>
      <c r="N49" s="92"/>
      <c r="O49" s="87"/>
      <c r="P49" s="92"/>
      <c r="Q49" s="92">
        <v>4752.8999999999996</v>
      </c>
      <c r="R49" s="87">
        <f>SUM(J49:Q49)</f>
        <v>40009.759000000005</v>
      </c>
    </row>
    <row r="50" spans="1:25" s="68" customFormat="1" x14ac:dyDescent="0.3">
      <c r="A50" s="79">
        <v>46140</v>
      </c>
      <c r="B50" s="80" t="s">
        <v>84</v>
      </c>
      <c r="C50" s="81">
        <v>79</v>
      </c>
      <c r="D50" s="82">
        <v>67286</v>
      </c>
      <c r="E50" s="91" t="s">
        <v>87</v>
      </c>
      <c r="F50" s="84" t="s">
        <v>69</v>
      </c>
      <c r="G50" s="80" t="s">
        <v>56</v>
      </c>
      <c r="H50" s="84" t="s">
        <v>85</v>
      </c>
      <c r="I50" s="80" t="s">
        <v>61</v>
      </c>
      <c r="J50" s="92">
        <v>29139.49</v>
      </c>
      <c r="K50" s="92"/>
      <c r="L50" s="92">
        <f>J50*0.21</f>
        <v>6119.2929000000004</v>
      </c>
      <c r="M50" s="92"/>
      <c r="N50" s="92"/>
      <c r="O50" s="87"/>
      <c r="P50" s="92"/>
      <c r="Q50" s="92">
        <v>4765.32</v>
      </c>
      <c r="R50" s="87">
        <f>SUM(J50:Q50)</f>
        <v>40024.102900000005</v>
      </c>
    </row>
    <row r="51" spans="1:25" s="68" customFormat="1" x14ac:dyDescent="0.3">
      <c r="A51" s="79">
        <v>46142</v>
      </c>
      <c r="B51" s="80" t="s">
        <v>84</v>
      </c>
      <c r="C51" s="81">
        <v>79</v>
      </c>
      <c r="D51" s="82">
        <v>67418</v>
      </c>
      <c r="E51" s="91" t="s">
        <v>87</v>
      </c>
      <c r="F51" s="84" t="s">
        <v>69</v>
      </c>
      <c r="G51" s="80" t="s">
        <v>56</v>
      </c>
      <c r="H51" s="84" t="s">
        <v>85</v>
      </c>
      <c r="I51" s="80" t="s">
        <v>61</v>
      </c>
      <c r="J51" s="92">
        <v>29158</v>
      </c>
      <c r="K51" s="92"/>
      <c r="L51" s="92">
        <f>J51*0.21</f>
        <v>6123.1799999999994</v>
      </c>
      <c r="M51" s="92"/>
      <c r="N51" s="92"/>
      <c r="O51" s="87"/>
      <c r="P51" s="92"/>
      <c r="Q51" s="92">
        <v>4780.6400000000003</v>
      </c>
      <c r="R51" s="87">
        <f>SUM(J51:Q51)</f>
        <v>40061.82</v>
      </c>
    </row>
    <row r="52" spans="1:25" s="68" customFormat="1" x14ac:dyDescent="0.3">
      <c r="A52" s="79">
        <v>46128</v>
      </c>
      <c r="B52" s="80" t="s">
        <v>84</v>
      </c>
      <c r="C52" s="81">
        <v>93</v>
      </c>
      <c r="D52" s="82">
        <v>6477</v>
      </c>
      <c r="E52" s="91" t="s">
        <v>87</v>
      </c>
      <c r="F52" s="84" t="s">
        <v>68</v>
      </c>
      <c r="G52" s="80" t="s">
        <v>56</v>
      </c>
      <c r="H52" s="84" t="s">
        <v>85</v>
      </c>
      <c r="I52" s="80" t="s">
        <v>61</v>
      </c>
      <c r="J52" s="92">
        <v>29908.54</v>
      </c>
      <c r="K52" s="92"/>
      <c r="L52" s="92">
        <f>J52*0.21</f>
        <v>6280.7933999999996</v>
      </c>
      <c r="M52" s="92"/>
      <c r="N52" s="92"/>
      <c r="O52" s="87"/>
      <c r="P52" s="92"/>
      <c r="Q52" s="92">
        <v>5829.89</v>
      </c>
      <c r="R52" s="87">
        <f>SUM(J52:Q52)</f>
        <v>42019.223400000003</v>
      </c>
    </row>
    <row r="53" spans="1:25" s="68" customFormat="1" hidden="1" x14ac:dyDescent="0.3">
      <c r="A53" s="79">
        <v>46133</v>
      </c>
      <c r="B53" s="80" t="s">
        <v>84</v>
      </c>
      <c r="C53" s="81">
        <v>275</v>
      </c>
      <c r="D53" s="82">
        <v>11805</v>
      </c>
      <c r="E53" s="91" t="s">
        <v>88</v>
      </c>
      <c r="F53" s="84" t="s">
        <v>69</v>
      </c>
      <c r="G53" s="80" t="s">
        <v>56</v>
      </c>
      <c r="H53" s="84" t="s">
        <v>70</v>
      </c>
      <c r="I53" s="80" t="s">
        <v>66</v>
      </c>
      <c r="J53" s="87">
        <v>66000</v>
      </c>
      <c r="K53" s="92"/>
      <c r="L53" s="92">
        <f>J53*0.21</f>
        <v>13860</v>
      </c>
      <c r="M53" s="92"/>
      <c r="N53" s="94">
        <v>1980.0000000000002</v>
      </c>
      <c r="O53" s="94">
        <v>1188.0011269914451</v>
      </c>
      <c r="P53" s="94">
        <v>1678.1747861277597</v>
      </c>
      <c r="Q53" s="92"/>
      <c r="R53" s="87">
        <f>SUM(J53:Q53)</f>
        <v>84706.175913119194</v>
      </c>
    </row>
    <row r="54" spans="1:25" s="64" customFormat="1" hidden="1" x14ac:dyDescent="0.3">
      <c r="A54" s="79">
        <v>46139</v>
      </c>
      <c r="B54" s="80" t="s">
        <v>84</v>
      </c>
      <c r="C54" s="81">
        <v>281</v>
      </c>
      <c r="D54" s="82">
        <v>5140</v>
      </c>
      <c r="E54" s="91" t="s">
        <v>88</v>
      </c>
      <c r="F54" s="84" t="s">
        <v>69</v>
      </c>
      <c r="G54" s="80" t="s">
        <v>56</v>
      </c>
      <c r="H54" s="84" t="s">
        <v>70</v>
      </c>
      <c r="I54" s="80" t="s">
        <v>66</v>
      </c>
      <c r="J54" s="92">
        <v>39550</v>
      </c>
      <c r="K54" s="92"/>
      <c r="L54" s="92">
        <f>J54*0.21</f>
        <v>8305.5</v>
      </c>
      <c r="M54" s="92"/>
      <c r="N54" s="92">
        <v>1186.8</v>
      </c>
      <c r="O54" s="87">
        <v>712.08</v>
      </c>
      <c r="P54" s="92">
        <v>989</v>
      </c>
      <c r="Q54" s="92">
        <v>5464.99</v>
      </c>
      <c r="R54" s="87">
        <f>SUM(J54:Q54)</f>
        <v>56208.37</v>
      </c>
      <c r="S54" s="68"/>
      <c r="T54" s="68"/>
      <c r="U54" s="68"/>
      <c r="V54" s="68"/>
      <c r="W54" s="68"/>
      <c r="X54" s="68"/>
      <c r="Y54" s="68"/>
    </row>
    <row r="55" spans="1:25" s="64" customFormat="1" hidden="1" x14ac:dyDescent="0.3">
      <c r="A55" s="79">
        <v>46140</v>
      </c>
      <c r="B55" s="80" t="s">
        <v>84</v>
      </c>
      <c r="C55" s="81">
        <v>275</v>
      </c>
      <c r="D55" s="82">
        <v>11827</v>
      </c>
      <c r="E55" s="91" t="s">
        <v>88</v>
      </c>
      <c r="F55" s="84" t="s">
        <v>69</v>
      </c>
      <c r="G55" s="80" t="s">
        <v>56</v>
      </c>
      <c r="H55" s="84" t="s">
        <v>70</v>
      </c>
      <c r="I55" s="80" t="s">
        <v>66</v>
      </c>
      <c r="J55" s="92">
        <v>64000</v>
      </c>
      <c r="K55" s="92"/>
      <c r="L55" s="92">
        <f>J55*0.21</f>
        <v>13440</v>
      </c>
      <c r="M55" s="92"/>
      <c r="N55" s="92">
        <v>1920</v>
      </c>
      <c r="O55" s="87">
        <v>1152</v>
      </c>
      <c r="P55" s="92">
        <v>1600</v>
      </c>
      <c r="Q55" s="92"/>
      <c r="R55" s="87">
        <f>SUM(J55:Q55)</f>
        <v>82112</v>
      </c>
      <c r="S55" s="68"/>
      <c r="T55" s="68"/>
      <c r="U55" s="68"/>
      <c r="V55" s="68"/>
      <c r="W55" s="68"/>
      <c r="X55" s="68"/>
      <c r="Y55" s="68"/>
    </row>
    <row r="56" spans="1:25" s="64" customFormat="1" x14ac:dyDescent="0.3">
      <c r="A56" s="79">
        <v>46122</v>
      </c>
      <c r="B56" s="80" t="s">
        <v>84</v>
      </c>
      <c r="C56" s="81">
        <v>81</v>
      </c>
      <c r="D56" s="82">
        <v>9626</v>
      </c>
      <c r="E56" s="91" t="s">
        <v>87</v>
      </c>
      <c r="F56" s="84" t="s">
        <v>68</v>
      </c>
      <c r="G56" s="80" t="s">
        <v>56</v>
      </c>
      <c r="H56" s="84" t="s">
        <v>85</v>
      </c>
      <c r="I56" s="80" t="s">
        <v>61</v>
      </c>
      <c r="J56" s="92">
        <v>36805.68</v>
      </c>
      <c r="K56" s="92"/>
      <c r="L56" s="92">
        <f>J56*0.21</f>
        <v>7729.1927999999998</v>
      </c>
      <c r="M56" s="92"/>
      <c r="N56" s="92"/>
      <c r="O56" s="92"/>
      <c r="P56" s="92"/>
      <c r="Q56" s="92">
        <v>5464.99</v>
      </c>
      <c r="R56" s="87">
        <f>SUM(J56:Q56)</f>
        <v>49999.862799999995</v>
      </c>
    </row>
    <row r="57" spans="1:25" s="64" customFormat="1" x14ac:dyDescent="0.3">
      <c r="A57" s="79">
        <v>46133</v>
      </c>
      <c r="B57" s="80" t="s">
        <v>84</v>
      </c>
      <c r="C57" s="81">
        <v>93</v>
      </c>
      <c r="D57" s="82">
        <v>6599</v>
      </c>
      <c r="E57" s="91" t="s">
        <v>87</v>
      </c>
      <c r="F57" s="84" t="s">
        <v>68</v>
      </c>
      <c r="G57" s="80" t="s">
        <v>56</v>
      </c>
      <c r="H57" s="84" t="s">
        <v>85</v>
      </c>
      <c r="I57" s="80" t="s">
        <v>61</v>
      </c>
      <c r="J57" s="92">
        <v>36805.68</v>
      </c>
      <c r="K57" s="92"/>
      <c r="L57" s="92">
        <f>J57*0.21</f>
        <v>7729.1927999999998</v>
      </c>
      <c r="M57" s="92"/>
      <c r="N57" s="92"/>
      <c r="O57" s="87"/>
      <c r="P57" s="92"/>
      <c r="Q57" s="92">
        <v>5464.99</v>
      </c>
      <c r="R57" s="87">
        <f>SUM(J57:Q57)</f>
        <v>49999.862799999995</v>
      </c>
    </row>
    <row r="58" spans="1:25" s="64" customFormat="1" x14ac:dyDescent="0.3">
      <c r="A58" s="79">
        <v>46137</v>
      </c>
      <c r="B58" s="80" t="s">
        <v>84</v>
      </c>
      <c r="C58" s="81">
        <v>81</v>
      </c>
      <c r="D58" s="82">
        <v>10377</v>
      </c>
      <c r="E58" s="91" t="s">
        <v>87</v>
      </c>
      <c r="F58" s="84" t="s">
        <v>68</v>
      </c>
      <c r="G58" s="80" t="s">
        <v>56</v>
      </c>
      <c r="H58" s="84" t="s">
        <v>85</v>
      </c>
      <c r="I58" s="80" t="s">
        <v>61</v>
      </c>
      <c r="J58" s="92">
        <v>36805.68</v>
      </c>
      <c r="K58" s="92"/>
      <c r="L58" s="92">
        <f>J58*0.21</f>
        <v>7729.1927999999998</v>
      </c>
      <c r="M58" s="92"/>
      <c r="N58" s="92"/>
      <c r="O58" s="87"/>
      <c r="P58" s="92"/>
      <c r="Q58" s="92">
        <v>5464.99</v>
      </c>
      <c r="R58" s="87">
        <f>SUM(J58:Q58)</f>
        <v>49999.862799999995</v>
      </c>
    </row>
    <row r="59" spans="1:25" s="68" customFormat="1" x14ac:dyDescent="0.3">
      <c r="A59" s="79">
        <v>46139</v>
      </c>
      <c r="B59" s="80" t="s">
        <v>84</v>
      </c>
      <c r="C59" s="81">
        <v>93</v>
      </c>
      <c r="D59" s="82">
        <v>6773</v>
      </c>
      <c r="E59" s="91" t="s">
        <v>87</v>
      </c>
      <c r="F59" s="84" t="s">
        <v>68</v>
      </c>
      <c r="G59" s="80" t="s">
        <v>56</v>
      </c>
      <c r="H59" s="84" t="s">
        <v>85</v>
      </c>
      <c r="I59" s="80" t="s">
        <v>61</v>
      </c>
      <c r="J59" s="92">
        <v>36805.68</v>
      </c>
      <c r="K59" s="92"/>
      <c r="L59" s="92">
        <f>J59*0.21</f>
        <v>7729.1927999999998</v>
      </c>
      <c r="M59" s="92"/>
      <c r="N59" s="92"/>
      <c r="O59" s="87"/>
      <c r="P59" s="92"/>
      <c r="Q59" s="92">
        <v>5464.99</v>
      </c>
      <c r="R59" s="87">
        <f>SUM(J59:Q59)</f>
        <v>49999.862799999995</v>
      </c>
      <c r="S59" s="90"/>
    </row>
    <row r="60" spans="1:25" s="68" customFormat="1" x14ac:dyDescent="0.3">
      <c r="A60" s="79">
        <v>46119</v>
      </c>
      <c r="B60" s="80" t="s">
        <v>84</v>
      </c>
      <c r="C60" s="81">
        <v>93</v>
      </c>
      <c r="D60" s="82">
        <v>6176</v>
      </c>
      <c r="E60" s="91" t="s">
        <v>87</v>
      </c>
      <c r="F60" s="84" t="s">
        <v>68</v>
      </c>
      <c r="G60" s="80" t="s">
        <v>56</v>
      </c>
      <c r="H60" s="84" t="s">
        <v>85</v>
      </c>
      <c r="I60" s="80" t="s">
        <v>61</v>
      </c>
      <c r="J60" s="92">
        <v>36413.47</v>
      </c>
      <c r="K60" s="93"/>
      <c r="L60" s="92">
        <f>J60*0.21</f>
        <v>7646.8287</v>
      </c>
      <c r="M60" s="87"/>
      <c r="N60" s="87"/>
      <c r="O60" s="87"/>
      <c r="P60" s="87"/>
      <c r="Q60" s="92">
        <v>5939.67</v>
      </c>
      <c r="R60" s="87">
        <f>SUM(J60:Q60)</f>
        <v>49999.968699999998</v>
      </c>
      <c r="S60" s="90"/>
    </row>
    <row r="61" spans="1:25" s="68" customFormat="1" x14ac:dyDescent="0.3">
      <c r="A61" s="79">
        <v>46137</v>
      </c>
      <c r="B61" s="80" t="s">
        <v>84</v>
      </c>
      <c r="C61" s="81">
        <v>79</v>
      </c>
      <c r="D61" s="82">
        <v>67095</v>
      </c>
      <c r="E61" s="91" t="s">
        <v>87</v>
      </c>
      <c r="F61" s="84" t="s">
        <v>69</v>
      </c>
      <c r="G61" s="80" t="s">
        <v>56</v>
      </c>
      <c r="H61" s="84" t="s">
        <v>85</v>
      </c>
      <c r="I61" s="80" t="s">
        <v>61</v>
      </c>
      <c r="J61" s="92">
        <v>36429.660000000003</v>
      </c>
      <c r="K61" s="92"/>
      <c r="L61" s="92">
        <f>J61*0.21</f>
        <v>7650.2286000000004</v>
      </c>
      <c r="M61" s="92"/>
      <c r="N61" s="92"/>
      <c r="O61" s="87"/>
      <c r="P61" s="92"/>
      <c r="Q61" s="92">
        <v>5942.31</v>
      </c>
      <c r="R61" s="87">
        <f>SUM(J61:Q61)</f>
        <v>50022.198600000003</v>
      </c>
    </row>
    <row r="62" spans="1:25" s="68" customFormat="1" hidden="1" x14ac:dyDescent="0.3">
      <c r="A62" s="79">
        <v>46142</v>
      </c>
      <c r="B62" s="80" t="s">
        <v>84</v>
      </c>
      <c r="C62" s="81">
        <v>281</v>
      </c>
      <c r="D62" s="82">
        <v>5149</v>
      </c>
      <c r="E62" s="91" t="s">
        <v>88</v>
      </c>
      <c r="F62" s="84" t="s">
        <v>69</v>
      </c>
      <c r="G62" s="80" t="s">
        <v>56</v>
      </c>
      <c r="H62" s="84" t="s">
        <v>70</v>
      </c>
      <c r="I62" s="80" t="s">
        <v>66</v>
      </c>
      <c r="J62" s="92">
        <v>234252</v>
      </c>
      <c r="K62" s="92"/>
      <c r="L62" s="92">
        <f>J62*0.21</f>
        <v>49192.92</v>
      </c>
      <c r="M62" s="92"/>
      <c r="N62" s="92">
        <v>7027.56</v>
      </c>
      <c r="O62" s="87">
        <v>4216.54</v>
      </c>
      <c r="P62" s="92">
        <v>5856.3</v>
      </c>
      <c r="Q62" s="92"/>
      <c r="R62" s="87">
        <f>SUM(J62:Q62)</f>
        <v>300545.31999999995</v>
      </c>
      <c r="S62" s="90"/>
    </row>
    <row r="63" spans="1:25" s="68" customFormat="1" hidden="1" x14ac:dyDescent="0.3">
      <c r="A63" s="79">
        <v>46142</v>
      </c>
      <c r="B63" s="80" t="s">
        <v>84</v>
      </c>
      <c r="C63" s="81">
        <v>1</v>
      </c>
      <c r="D63" s="82">
        <v>15938</v>
      </c>
      <c r="E63" s="83" t="s">
        <v>114</v>
      </c>
      <c r="F63" s="84" t="s">
        <v>74</v>
      </c>
      <c r="G63" s="80" t="s">
        <v>56</v>
      </c>
      <c r="H63" s="84" t="s">
        <v>75</v>
      </c>
      <c r="I63" s="80" t="s">
        <v>61</v>
      </c>
      <c r="J63" s="92">
        <v>549609.1</v>
      </c>
      <c r="K63" s="92"/>
      <c r="L63" s="92">
        <f>J63*0.21</f>
        <v>115417.91099999999</v>
      </c>
      <c r="M63" s="92"/>
      <c r="N63" s="92"/>
      <c r="O63" s="87"/>
      <c r="P63" s="92"/>
      <c r="Q63" s="92"/>
      <c r="R63" s="87">
        <f>SUM(J63:Q63)</f>
        <v>665027.01099999994</v>
      </c>
      <c r="S63" s="90"/>
    </row>
    <row r="64" spans="1:25" s="68" customFormat="1" hidden="1" x14ac:dyDescent="0.3">
      <c r="A64" s="79">
        <v>46142</v>
      </c>
      <c r="B64" s="80" t="s">
        <v>84</v>
      </c>
      <c r="C64" s="81">
        <v>3</v>
      </c>
      <c r="D64" s="82">
        <v>188</v>
      </c>
      <c r="E64" s="83" t="s">
        <v>113</v>
      </c>
      <c r="F64" s="84" t="s">
        <v>76</v>
      </c>
      <c r="G64" s="80" t="s">
        <v>56</v>
      </c>
      <c r="H64" s="84" t="s">
        <v>77</v>
      </c>
      <c r="I64" s="80" t="s">
        <v>61</v>
      </c>
      <c r="J64" s="92">
        <v>54428.93</v>
      </c>
      <c r="K64" s="92"/>
      <c r="L64" s="92">
        <f>J64*0.21</f>
        <v>11430.0753</v>
      </c>
      <c r="M64" s="92"/>
      <c r="N64" s="92"/>
      <c r="O64" s="87"/>
      <c r="P64" s="92"/>
      <c r="Q64" s="92"/>
      <c r="R64" s="87">
        <f>SUM(J64:Q64)</f>
        <v>65859.005300000004</v>
      </c>
    </row>
    <row r="65" spans="1:19" s="68" customFormat="1" x14ac:dyDescent="0.3">
      <c r="A65" s="79">
        <v>46118</v>
      </c>
      <c r="B65" s="80" t="s">
        <v>84</v>
      </c>
      <c r="C65" s="81">
        <v>81</v>
      </c>
      <c r="D65" s="82">
        <v>9415</v>
      </c>
      <c r="E65" s="91" t="s">
        <v>87</v>
      </c>
      <c r="F65" s="84" t="s">
        <v>68</v>
      </c>
      <c r="G65" s="80" t="s">
        <v>56</v>
      </c>
      <c r="H65" s="84" t="s">
        <v>85</v>
      </c>
      <c r="I65" s="80" t="s">
        <v>61</v>
      </c>
      <c r="J65" s="92">
        <v>43931.86</v>
      </c>
      <c r="K65" s="93"/>
      <c r="L65" s="92">
        <f>J65*0.21</f>
        <v>9225.6905999999999</v>
      </c>
      <c r="M65" s="87"/>
      <c r="N65" s="87"/>
      <c r="O65" s="87"/>
      <c r="P65" s="87"/>
      <c r="Q65" s="92">
        <v>6842.84</v>
      </c>
      <c r="R65" s="87">
        <f>SUM(J65:Q65)</f>
        <v>60000.390599999999</v>
      </c>
      <c r="S65" s="90"/>
    </row>
    <row r="66" spans="1:19" s="68" customFormat="1" hidden="1" x14ac:dyDescent="0.3">
      <c r="A66" s="79">
        <v>46142</v>
      </c>
      <c r="B66" s="80" t="s">
        <v>84</v>
      </c>
      <c r="C66" s="81">
        <v>5</v>
      </c>
      <c r="D66" s="82">
        <v>16535</v>
      </c>
      <c r="E66" s="83" t="s">
        <v>72</v>
      </c>
      <c r="F66" s="84" t="s">
        <v>73</v>
      </c>
      <c r="G66" s="80" t="s">
        <v>56</v>
      </c>
      <c r="H66" s="84" t="s">
        <v>85</v>
      </c>
      <c r="I66" s="80" t="s">
        <v>61</v>
      </c>
      <c r="J66" s="92">
        <v>36823.120000000003</v>
      </c>
      <c r="K66" s="92"/>
      <c r="L66" s="92">
        <f>J66*0.21</f>
        <v>7732.8552</v>
      </c>
      <c r="M66" s="92"/>
      <c r="N66" s="92"/>
      <c r="O66" s="87"/>
      <c r="P66" s="92"/>
      <c r="Q66" s="92">
        <v>5444.1</v>
      </c>
      <c r="R66" s="87">
        <f>SUM(J66:Q66)</f>
        <v>50000.075199999999</v>
      </c>
      <c r="S66" s="90"/>
    </row>
    <row r="67" spans="1:19" s="68" customFormat="1" x14ac:dyDescent="0.3">
      <c r="A67" s="79">
        <v>46133</v>
      </c>
      <c r="B67" s="80" t="s">
        <v>84</v>
      </c>
      <c r="C67" s="81">
        <v>275</v>
      </c>
      <c r="D67" s="82">
        <v>11805</v>
      </c>
      <c r="E67" s="91" t="s">
        <v>87</v>
      </c>
      <c r="F67" s="84" t="s">
        <v>68</v>
      </c>
      <c r="G67" s="80" t="s">
        <v>56</v>
      </c>
      <c r="H67" s="84" t="s">
        <v>85</v>
      </c>
      <c r="I67" s="80" t="s">
        <v>61</v>
      </c>
      <c r="J67" s="92">
        <v>66000</v>
      </c>
      <c r="K67" s="92"/>
      <c r="L67" s="92">
        <f>J67*0.21</f>
        <v>13860</v>
      </c>
      <c r="M67" s="92"/>
      <c r="N67" s="92">
        <v>1980</v>
      </c>
      <c r="O67" s="87">
        <v>1188</v>
      </c>
      <c r="P67" s="92">
        <v>1650</v>
      </c>
      <c r="Q67" s="92"/>
      <c r="R67" s="87">
        <f>SUM(J67:Q67)</f>
        <v>84678</v>
      </c>
      <c r="S67" s="90"/>
    </row>
    <row r="68" spans="1:19" s="68" customFormat="1" hidden="1" x14ac:dyDescent="0.3">
      <c r="A68" s="79">
        <v>46120</v>
      </c>
      <c r="B68" s="80" t="s">
        <v>84</v>
      </c>
      <c r="C68" s="81">
        <v>4</v>
      </c>
      <c r="D68" s="82">
        <v>53787</v>
      </c>
      <c r="E68" s="83" t="s">
        <v>78</v>
      </c>
      <c r="F68" s="84" t="s">
        <v>79</v>
      </c>
      <c r="G68" s="80" t="s">
        <v>56</v>
      </c>
      <c r="H68" s="84" t="s">
        <v>75</v>
      </c>
      <c r="I68" s="80" t="s">
        <v>67</v>
      </c>
      <c r="J68" s="92">
        <v>110334.19</v>
      </c>
      <c r="K68" s="92"/>
      <c r="L68" s="92">
        <f t="shared" ref="L64:L79" si="0">J68*0.21</f>
        <v>23170.179899999999</v>
      </c>
      <c r="M68" s="92"/>
      <c r="N68" s="92"/>
      <c r="O68" s="87"/>
      <c r="P68" s="92"/>
      <c r="Q68" s="92"/>
      <c r="R68" s="87">
        <f t="shared" ref="R7:R70" si="1">SUM(J68:Q68)</f>
        <v>133504.36989999999</v>
      </c>
      <c r="S68" s="90"/>
    </row>
    <row r="69" spans="1:19" s="68" customFormat="1" hidden="1" x14ac:dyDescent="0.3">
      <c r="A69" s="79">
        <v>46121</v>
      </c>
      <c r="B69" s="80" t="s">
        <v>84</v>
      </c>
      <c r="C69" s="81">
        <v>5</v>
      </c>
      <c r="D69" s="82">
        <v>53844</v>
      </c>
      <c r="E69" s="83" t="s">
        <v>78</v>
      </c>
      <c r="F69" s="84" t="s">
        <v>79</v>
      </c>
      <c r="G69" s="80" t="s">
        <v>56</v>
      </c>
      <c r="H69" s="84" t="s">
        <v>75</v>
      </c>
      <c r="I69" s="80" t="s">
        <v>67</v>
      </c>
      <c r="J69" s="92">
        <v>13881.86</v>
      </c>
      <c r="K69" s="92">
        <v>508.24</v>
      </c>
      <c r="L69" s="92">
        <f t="shared" si="0"/>
        <v>2915.1905999999999</v>
      </c>
      <c r="M69" s="92"/>
      <c r="N69" s="92"/>
      <c r="O69" s="87"/>
      <c r="P69" s="92"/>
      <c r="Q69" s="92"/>
      <c r="R69" s="87">
        <f t="shared" si="1"/>
        <v>17305.2906</v>
      </c>
      <c r="S69" s="90"/>
    </row>
    <row r="70" spans="1:19" s="68" customFormat="1" hidden="1" x14ac:dyDescent="0.3">
      <c r="A70" s="79">
        <v>46126</v>
      </c>
      <c r="B70" s="80" t="s">
        <v>84</v>
      </c>
      <c r="C70" s="81">
        <v>5</v>
      </c>
      <c r="D70" s="82">
        <v>53942</v>
      </c>
      <c r="E70" s="83" t="s">
        <v>78</v>
      </c>
      <c r="F70" s="84" t="s">
        <v>79</v>
      </c>
      <c r="G70" s="80" t="s">
        <v>56</v>
      </c>
      <c r="H70" s="84" t="s">
        <v>75</v>
      </c>
      <c r="I70" s="80" t="s">
        <v>67</v>
      </c>
      <c r="J70" s="92">
        <v>57932.98</v>
      </c>
      <c r="K70" s="92"/>
      <c r="L70" s="92">
        <f t="shared" si="0"/>
        <v>12165.925800000001</v>
      </c>
      <c r="M70" s="92"/>
      <c r="N70" s="92"/>
      <c r="O70" s="87"/>
      <c r="P70" s="92"/>
      <c r="Q70" s="92"/>
      <c r="R70" s="87">
        <f t="shared" si="1"/>
        <v>70098.905800000008</v>
      </c>
      <c r="S70" s="90"/>
    </row>
    <row r="71" spans="1:19" s="68" customFormat="1" hidden="1" x14ac:dyDescent="0.3">
      <c r="A71" s="79">
        <v>46128</v>
      </c>
      <c r="B71" s="80" t="s">
        <v>84</v>
      </c>
      <c r="C71" s="81">
        <v>5</v>
      </c>
      <c r="D71" s="82">
        <v>54006</v>
      </c>
      <c r="E71" s="83" t="s">
        <v>78</v>
      </c>
      <c r="F71" s="85" t="s">
        <v>79</v>
      </c>
      <c r="G71" s="80" t="s">
        <v>56</v>
      </c>
      <c r="H71" s="84" t="s">
        <v>75</v>
      </c>
      <c r="I71" s="80" t="s">
        <v>67</v>
      </c>
      <c r="J71" s="92">
        <v>39676.89</v>
      </c>
      <c r="K71" s="92">
        <v>945.07</v>
      </c>
      <c r="L71" s="92">
        <f t="shared" si="0"/>
        <v>8332.1468999999997</v>
      </c>
      <c r="M71" s="92"/>
      <c r="N71" s="92"/>
      <c r="O71" s="87"/>
      <c r="P71" s="92"/>
      <c r="Q71" s="92"/>
      <c r="R71" s="87">
        <f t="shared" ref="R71:R79" si="2">SUM(J71:Q71)</f>
        <v>48954.106899999999</v>
      </c>
      <c r="S71" s="90"/>
    </row>
    <row r="72" spans="1:19" s="68" customFormat="1" hidden="1" x14ac:dyDescent="0.3">
      <c r="A72" s="79">
        <v>46130</v>
      </c>
      <c r="B72" s="80" t="s">
        <v>84</v>
      </c>
      <c r="C72" s="81">
        <v>5</v>
      </c>
      <c r="D72" s="82">
        <v>54056</v>
      </c>
      <c r="E72" s="83" t="s">
        <v>78</v>
      </c>
      <c r="F72" s="84" t="s">
        <v>79</v>
      </c>
      <c r="G72" s="80" t="s">
        <v>56</v>
      </c>
      <c r="H72" s="84" t="s">
        <v>75</v>
      </c>
      <c r="I72" s="80" t="s">
        <v>67</v>
      </c>
      <c r="J72" s="92">
        <v>24815.48</v>
      </c>
      <c r="K72" s="92"/>
      <c r="L72" s="92">
        <f t="shared" si="0"/>
        <v>5211.2507999999998</v>
      </c>
      <c r="M72" s="92"/>
      <c r="N72" s="92"/>
      <c r="O72" s="87"/>
      <c r="P72" s="92"/>
      <c r="Q72" s="92"/>
      <c r="R72" s="87">
        <f t="shared" si="2"/>
        <v>30026.730799999998</v>
      </c>
      <c r="S72" s="90"/>
    </row>
    <row r="73" spans="1:19" s="68" customFormat="1" hidden="1" x14ac:dyDescent="0.3">
      <c r="A73" s="79">
        <v>46136</v>
      </c>
      <c r="B73" s="80" t="s">
        <v>84</v>
      </c>
      <c r="C73" s="81">
        <v>5</v>
      </c>
      <c r="D73" s="82">
        <v>54201</v>
      </c>
      <c r="E73" s="83" t="s">
        <v>78</v>
      </c>
      <c r="F73" s="84" t="s">
        <v>79</v>
      </c>
      <c r="G73" s="80" t="s">
        <v>56</v>
      </c>
      <c r="H73" s="84" t="s">
        <v>75</v>
      </c>
      <c r="I73" s="80" t="s">
        <v>67</v>
      </c>
      <c r="J73" s="92">
        <v>38035.57</v>
      </c>
      <c r="K73" s="92"/>
      <c r="L73" s="92">
        <f t="shared" si="0"/>
        <v>7987.4696999999996</v>
      </c>
      <c r="M73" s="92"/>
      <c r="N73" s="92"/>
      <c r="O73" s="87"/>
      <c r="P73" s="92"/>
      <c r="Q73" s="92"/>
      <c r="R73" s="87">
        <f t="shared" si="2"/>
        <v>46023.039700000001</v>
      </c>
    </row>
    <row r="74" spans="1:19" s="68" customFormat="1" hidden="1" x14ac:dyDescent="0.3">
      <c r="A74" s="79">
        <v>46140</v>
      </c>
      <c r="B74" s="80" t="s">
        <v>84</v>
      </c>
      <c r="C74" s="81">
        <v>5</v>
      </c>
      <c r="D74" s="82">
        <v>54266</v>
      </c>
      <c r="E74" s="83" t="s">
        <v>78</v>
      </c>
      <c r="F74" s="84" t="s">
        <v>79</v>
      </c>
      <c r="G74" s="80" t="s">
        <v>56</v>
      </c>
      <c r="H74" s="84" t="s">
        <v>75</v>
      </c>
      <c r="I74" s="80" t="s">
        <v>67</v>
      </c>
      <c r="J74" s="92">
        <v>62654.01</v>
      </c>
      <c r="K74" s="92"/>
      <c r="L74" s="92">
        <f t="shared" si="0"/>
        <v>13157.3421</v>
      </c>
      <c r="M74" s="92"/>
      <c r="N74" s="92"/>
      <c r="O74" s="87"/>
      <c r="P74" s="92"/>
      <c r="Q74" s="92"/>
      <c r="R74" s="87">
        <f t="shared" si="2"/>
        <v>75811.352100000004</v>
      </c>
    </row>
    <row r="75" spans="1:19" s="68" customFormat="1" hidden="1" x14ac:dyDescent="0.3">
      <c r="A75" s="79">
        <v>46141</v>
      </c>
      <c r="B75" s="80" t="s">
        <v>84</v>
      </c>
      <c r="C75" s="81">
        <v>5</v>
      </c>
      <c r="D75" s="82">
        <v>54314</v>
      </c>
      <c r="E75" s="83" t="s">
        <v>78</v>
      </c>
      <c r="F75" s="84" t="s">
        <v>79</v>
      </c>
      <c r="G75" s="80" t="s">
        <v>56</v>
      </c>
      <c r="H75" s="84" t="s">
        <v>75</v>
      </c>
      <c r="I75" s="80" t="s">
        <v>67</v>
      </c>
      <c r="J75" s="92">
        <v>55310.33</v>
      </c>
      <c r="K75" s="92">
        <v>813.39</v>
      </c>
      <c r="L75" s="92">
        <f t="shared" si="0"/>
        <v>11615.1693</v>
      </c>
      <c r="M75" s="92"/>
      <c r="N75" s="92"/>
      <c r="O75" s="87"/>
      <c r="P75" s="92"/>
      <c r="Q75" s="92"/>
      <c r="R75" s="87">
        <f t="shared" si="2"/>
        <v>67738.889299999995</v>
      </c>
    </row>
    <row r="76" spans="1:19" s="68" customFormat="1" hidden="1" x14ac:dyDescent="0.3">
      <c r="A76" s="79">
        <v>46141</v>
      </c>
      <c r="B76" s="83" t="s">
        <v>112</v>
      </c>
      <c r="C76" s="81">
        <v>1181</v>
      </c>
      <c r="D76" s="82">
        <v>1181</v>
      </c>
      <c r="E76" s="83" t="s">
        <v>78</v>
      </c>
      <c r="F76" s="84" t="s">
        <v>79</v>
      </c>
      <c r="G76" s="80" t="s">
        <v>56</v>
      </c>
      <c r="H76" s="84" t="s">
        <v>75</v>
      </c>
      <c r="I76" s="80" t="s">
        <v>67</v>
      </c>
      <c r="J76" s="87">
        <v>3414.04</v>
      </c>
      <c r="K76" s="92"/>
      <c r="L76" s="92">
        <f t="shared" si="0"/>
        <v>716.94839999999999</v>
      </c>
      <c r="M76" s="92"/>
      <c r="N76" s="92"/>
      <c r="O76" s="87"/>
      <c r="P76" s="92"/>
      <c r="Q76" s="92"/>
      <c r="R76" s="87">
        <f t="shared" si="2"/>
        <v>4130.9884000000002</v>
      </c>
    </row>
    <row r="77" spans="1:19" s="68" customFormat="1" hidden="1" x14ac:dyDescent="0.3">
      <c r="A77" s="79">
        <v>46142</v>
      </c>
      <c r="B77" s="80" t="s">
        <v>84</v>
      </c>
      <c r="C77" s="81">
        <v>5</v>
      </c>
      <c r="D77" s="82">
        <v>54367</v>
      </c>
      <c r="E77" s="83" t="s">
        <v>78</v>
      </c>
      <c r="F77" s="84" t="s">
        <v>79</v>
      </c>
      <c r="G77" s="80" t="s">
        <v>56</v>
      </c>
      <c r="H77" s="84" t="s">
        <v>75</v>
      </c>
      <c r="I77" s="80" t="s">
        <v>67</v>
      </c>
      <c r="J77" s="92">
        <v>9090.92</v>
      </c>
      <c r="K77" s="92"/>
      <c r="L77" s="92">
        <f t="shared" si="0"/>
        <v>1909.0932</v>
      </c>
      <c r="M77" s="92"/>
      <c r="N77" s="92"/>
      <c r="O77" s="87"/>
      <c r="P77" s="92"/>
      <c r="Q77" s="92"/>
      <c r="R77" s="87">
        <f t="shared" si="2"/>
        <v>11000.013199999999</v>
      </c>
    </row>
    <row r="78" spans="1:19" s="68" customFormat="1" hidden="1" x14ac:dyDescent="0.3">
      <c r="A78" s="79">
        <v>46050</v>
      </c>
      <c r="B78" s="80" t="s">
        <v>84</v>
      </c>
      <c r="C78" s="81">
        <v>26</v>
      </c>
      <c r="D78" s="82">
        <v>1169980</v>
      </c>
      <c r="E78" s="85" t="s">
        <v>59</v>
      </c>
      <c r="F78" s="84" t="s">
        <v>60</v>
      </c>
      <c r="G78" s="80" t="s">
        <v>56</v>
      </c>
      <c r="H78" s="84" t="s">
        <v>80</v>
      </c>
      <c r="I78" s="80" t="s">
        <v>61</v>
      </c>
      <c r="J78" s="93">
        <v>110259.06</v>
      </c>
      <c r="K78" s="92"/>
      <c r="L78" s="92">
        <f t="shared" si="0"/>
        <v>23154.402599999998</v>
      </c>
      <c r="M78" s="92"/>
      <c r="N78" s="92"/>
      <c r="O78" s="87"/>
      <c r="P78" s="92"/>
      <c r="Q78" s="92"/>
      <c r="R78" s="87">
        <f t="shared" si="2"/>
        <v>133413.4626</v>
      </c>
    </row>
    <row r="79" spans="1:19" s="68" customFormat="1" hidden="1" x14ac:dyDescent="0.3">
      <c r="A79" s="79" t="s">
        <v>81</v>
      </c>
      <c r="B79" s="83" t="s">
        <v>112</v>
      </c>
      <c r="C79" s="81">
        <v>2</v>
      </c>
      <c r="D79" s="82">
        <v>1337</v>
      </c>
      <c r="E79" s="83" t="s">
        <v>62</v>
      </c>
      <c r="F79" s="86">
        <v>30669701639</v>
      </c>
      <c r="G79" s="80" t="s">
        <v>56</v>
      </c>
      <c r="H79" s="84" t="s">
        <v>70</v>
      </c>
      <c r="I79" s="80" t="s">
        <v>67</v>
      </c>
      <c r="J79" s="92">
        <v>2250000</v>
      </c>
      <c r="K79" s="92"/>
      <c r="L79" s="92">
        <f t="shared" si="0"/>
        <v>472500</v>
      </c>
      <c r="M79" s="92"/>
      <c r="N79" s="92"/>
      <c r="O79" s="87"/>
      <c r="P79" s="92"/>
      <c r="Q79" s="92"/>
      <c r="R79" s="87">
        <f t="shared" si="2"/>
        <v>2722500</v>
      </c>
    </row>
  </sheetData>
  <autoFilter ref="A6:R79">
    <filterColumn colId="4">
      <filters>
        <filter val="LUCAM S.A."/>
      </filters>
    </filterColumn>
    <sortState ref="A7:R67">
      <sortCondition ref="R6:R79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72"/>
  <sheetViews>
    <sheetView topLeftCell="A19" zoomScale="85" zoomScaleNormal="85" workbookViewId="0">
      <selection activeCell="E10" sqref="E10"/>
    </sheetView>
  </sheetViews>
  <sheetFormatPr baseColWidth="10" defaultColWidth="11.5546875" defaultRowHeight="14.4" x14ac:dyDescent="0.3"/>
  <cols>
    <col min="2" max="2" width="19.88671875" customWidth="1"/>
    <col min="3" max="3" width="15.109375" customWidth="1"/>
    <col min="4" max="4" width="21.5546875" customWidth="1"/>
    <col min="5" max="5" width="45.33203125" style="67" customWidth="1"/>
    <col min="6" max="6" width="17.5546875" customWidth="1"/>
    <col min="7" max="7" width="20.5546875" customWidth="1"/>
    <col min="8" max="8" width="24.44140625" customWidth="1"/>
    <col min="9" max="9" width="15.33203125" customWidth="1"/>
    <col min="10" max="10" width="18.88671875" customWidth="1"/>
    <col min="11" max="13" width="18.88671875" style="13" customWidth="1"/>
    <col min="14" max="14" width="14" customWidth="1"/>
    <col min="15" max="15" width="20.88671875" customWidth="1"/>
    <col min="16" max="16" width="11.5546875" style="61"/>
    <col min="17" max="17" width="33" style="61" customWidth="1"/>
    <col min="18" max="89" width="11.5546875" style="61"/>
  </cols>
  <sheetData>
    <row r="1" spans="1:25" x14ac:dyDescent="0.3">
      <c r="A1" s="1"/>
      <c r="B1" s="1"/>
      <c r="C1" s="1"/>
      <c r="D1" s="1"/>
      <c r="E1" s="65"/>
      <c r="F1" s="2"/>
      <c r="G1" s="1"/>
      <c r="H1" s="1"/>
      <c r="I1" s="1"/>
      <c r="J1" s="1"/>
      <c r="K1" s="14"/>
      <c r="L1" s="14"/>
      <c r="M1" s="14"/>
      <c r="N1" s="1"/>
      <c r="O1" s="1"/>
      <c r="P1" s="10"/>
    </row>
    <row r="2" spans="1:25" x14ac:dyDescent="0.3">
      <c r="A2" s="3" t="s">
        <v>0</v>
      </c>
      <c r="B2" s="3" t="s">
        <v>1</v>
      </c>
      <c r="C2" s="3"/>
      <c r="D2" s="3"/>
      <c r="E2" s="66"/>
      <c r="F2" s="2"/>
      <c r="G2" s="62"/>
      <c r="H2" s="62"/>
      <c r="I2" s="1"/>
      <c r="J2" s="1"/>
      <c r="K2" s="14"/>
      <c r="L2" s="14"/>
      <c r="M2" s="14"/>
      <c r="N2" s="1"/>
      <c r="O2" s="1"/>
      <c r="P2" s="10"/>
    </row>
    <row r="3" spans="1:25" x14ac:dyDescent="0.3">
      <c r="A3" s="3" t="s">
        <v>17</v>
      </c>
      <c r="B3" s="3" t="s">
        <v>86</v>
      </c>
      <c r="C3" s="3"/>
      <c r="D3" s="3"/>
      <c r="E3" s="66"/>
      <c r="F3" s="2"/>
      <c r="G3" s="63"/>
      <c r="H3" s="62"/>
      <c r="I3" s="1"/>
      <c r="J3" s="1"/>
      <c r="K3" s="14"/>
      <c r="L3" s="14"/>
      <c r="M3" s="14"/>
      <c r="N3" s="1"/>
      <c r="O3" s="1"/>
      <c r="P3" s="10"/>
    </row>
    <row r="4" spans="1:25" s="47" customFormat="1" x14ac:dyDescent="0.3">
      <c r="A4" s="54" t="s">
        <v>82</v>
      </c>
      <c r="B4" s="88" t="s">
        <v>83</v>
      </c>
      <c r="C4" s="89">
        <v>2026</v>
      </c>
      <c r="D4" s="53"/>
      <c r="F4" s="52"/>
      <c r="I4" s="48"/>
      <c r="K4" s="56"/>
      <c r="L4" s="55"/>
      <c r="Q4" s="49"/>
      <c r="R4" s="49"/>
      <c r="S4" s="51"/>
      <c r="T4" s="51"/>
      <c r="U4" s="51"/>
      <c r="V4" s="51"/>
      <c r="W4" s="51"/>
      <c r="X4" s="51"/>
      <c r="Y4" s="51"/>
    </row>
    <row r="5" spans="1:25" s="47" customFormat="1" x14ac:dyDescent="0.3">
      <c r="A5" s="54"/>
      <c r="B5" s="88"/>
      <c r="C5" s="89"/>
      <c r="D5" s="53"/>
      <c r="F5" s="52"/>
      <c r="I5" s="48"/>
      <c r="K5" s="56"/>
      <c r="L5" s="55"/>
      <c r="Q5" s="49"/>
      <c r="R5" s="49"/>
      <c r="S5" s="51"/>
      <c r="T5" s="51"/>
      <c r="U5" s="51"/>
      <c r="V5" s="51"/>
      <c r="W5" s="51"/>
      <c r="X5" s="51"/>
      <c r="Y5" s="51"/>
    </row>
    <row r="6" spans="1:25" s="71" customFormat="1" x14ac:dyDescent="0.3">
      <c r="A6" s="75" t="s">
        <v>2</v>
      </c>
      <c r="B6" s="75" t="s">
        <v>3</v>
      </c>
      <c r="C6" s="76" t="s">
        <v>4</v>
      </c>
      <c r="D6" s="75" t="s">
        <v>5</v>
      </c>
      <c r="E6" s="77" t="s">
        <v>6</v>
      </c>
      <c r="F6" s="75" t="s">
        <v>7</v>
      </c>
      <c r="G6" s="75" t="s">
        <v>8</v>
      </c>
      <c r="H6" s="75" t="s">
        <v>9</v>
      </c>
      <c r="I6" s="75" t="s">
        <v>10</v>
      </c>
      <c r="J6" s="78" t="s">
        <v>51</v>
      </c>
      <c r="K6" s="78" t="s">
        <v>52</v>
      </c>
      <c r="L6" s="78" t="s">
        <v>53</v>
      </c>
      <c r="M6" s="78" t="s">
        <v>54</v>
      </c>
      <c r="N6" s="78" t="s">
        <v>55</v>
      </c>
      <c r="O6" s="75" t="s">
        <v>11</v>
      </c>
      <c r="P6" s="75" t="s">
        <v>12</v>
      </c>
    </row>
    <row r="7" spans="1:25" s="73" customFormat="1" ht="17.399999999999999" customHeight="1" x14ac:dyDescent="0.3">
      <c r="A7" s="95" t="s">
        <v>91</v>
      </c>
      <c r="B7" s="95" t="s">
        <v>58</v>
      </c>
      <c r="C7" s="96">
        <v>1</v>
      </c>
      <c r="D7" s="97">
        <v>325</v>
      </c>
      <c r="E7" s="95" t="s">
        <v>62</v>
      </c>
      <c r="F7" s="98">
        <v>30669701639</v>
      </c>
      <c r="G7" s="98">
        <v>1950000</v>
      </c>
      <c r="H7" s="95"/>
      <c r="I7" s="95">
        <f t="shared" ref="I7:I70" si="0">G7*(21/100)</f>
        <v>409500</v>
      </c>
      <c r="J7" s="95"/>
      <c r="K7" s="100"/>
      <c r="L7" s="100"/>
      <c r="M7" s="101"/>
      <c r="N7" s="104"/>
      <c r="O7" s="99">
        <f t="shared" ref="O7:O38" si="1">SUM(G7:J7)</f>
        <v>2359500</v>
      </c>
      <c r="P7" s="72" t="s">
        <v>65</v>
      </c>
    </row>
    <row r="8" spans="1:25" s="73" customFormat="1" ht="17.399999999999999" customHeight="1" x14ac:dyDescent="0.3">
      <c r="A8" s="95" t="s">
        <v>92</v>
      </c>
      <c r="B8" s="95" t="s">
        <v>57</v>
      </c>
      <c r="C8" s="96">
        <v>1</v>
      </c>
      <c r="D8" s="97">
        <v>3701</v>
      </c>
      <c r="E8" s="95" t="s">
        <v>63</v>
      </c>
      <c r="F8" s="98">
        <v>30678707909</v>
      </c>
      <c r="G8" s="99">
        <v>495867.76</v>
      </c>
      <c r="H8" s="95"/>
      <c r="I8" s="95">
        <f t="shared" si="0"/>
        <v>104132.22959999999</v>
      </c>
      <c r="J8" s="95"/>
      <c r="K8" s="100"/>
      <c r="L8" s="100"/>
      <c r="M8" s="101"/>
      <c r="N8" s="104"/>
      <c r="O8" s="99">
        <f t="shared" si="1"/>
        <v>599999.98959999997</v>
      </c>
      <c r="P8" s="72" t="s">
        <v>65</v>
      </c>
    </row>
    <row r="9" spans="1:25" s="73" customFormat="1" ht="17.399999999999999" customHeight="1" x14ac:dyDescent="0.3">
      <c r="A9" s="95" t="s">
        <v>92</v>
      </c>
      <c r="B9" s="95" t="s">
        <v>57</v>
      </c>
      <c r="C9" s="96">
        <v>1</v>
      </c>
      <c r="D9" s="97">
        <v>3702</v>
      </c>
      <c r="E9" s="95" t="s">
        <v>64</v>
      </c>
      <c r="F9" s="95"/>
      <c r="G9" s="98">
        <v>6281</v>
      </c>
      <c r="H9" s="95"/>
      <c r="I9" s="95">
        <f t="shared" si="0"/>
        <v>1319.01</v>
      </c>
      <c r="J9" s="95"/>
      <c r="K9" s="100"/>
      <c r="L9" s="100"/>
      <c r="M9" s="101"/>
      <c r="N9" s="104"/>
      <c r="O9" s="99">
        <f t="shared" si="1"/>
        <v>7600.01</v>
      </c>
      <c r="P9" s="72" t="s">
        <v>65</v>
      </c>
    </row>
    <row r="10" spans="1:25" s="74" customFormat="1" ht="17.399999999999999" customHeight="1" x14ac:dyDescent="0.3">
      <c r="A10" s="95" t="s">
        <v>92</v>
      </c>
      <c r="B10" s="95" t="s">
        <v>57</v>
      </c>
      <c r="C10" s="96">
        <v>1</v>
      </c>
      <c r="D10" s="97">
        <v>3703</v>
      </c>
      <c r="E10" s="95" t="s">
        <v>64</v>
      </c>
      <c r="F10" s="95"/>
      <c r="G10" s="99">
        <v>9504.14</v>
      </c>
      <c r="H10" s="95"/>
      <c r="I10" s="95">
        <f t="shared" si="0"/>
        <v>1995.8693999999998</v>
      </c>
      <c r="J10" s="95"/>
      <c r="K10" s="102"/>
      <c r="L10" s="102"/>
      <c r="M10" s="103"/>
      <c r="N10" s="105"/>
      <c r="O10" s="99">
        <f t="shared" si="1"/>
        <v>11500.009399999999</v>
      </c>
      <c r="P10" s="72" t="s">
        <v>67</v>
      </c>
    </row>
    <row r="11" spans="1:25" s="73" customFormat="1" ht="17.399999999999999" customHeight="1" x14ac:dyDescent="0.3">
      <c r="A11" s="95" t="s">
        <v>92</v>
      </c>
      <c r="B11" s="95" t="s">
        <v>57</v>
      </c>
      <c r="C11" s="96">
        <v>1</v>
      </c>
      <c r="D11" s="97">
        <v>3704</v>
      </c>
      <c r="E11" s="95" t="s">
        <v>64</v>
      </c>
      <c r="F11" s="95"/>
      <c r="G11" s="99">
        <v>9504.14</v>
      </c>
      <c r="H11" s="95"/>
      <c r="I11" s="95">
        <f t="shared" si="0"/>
        <v>1995.8693999999998</v>
      </c>
      <c r="J11" s="95"/>
      <c r="K11" s="100"/>
      <c r="L11" s="100"/>
      <c r="M11" s="101"/>
      <c r="N11" s="104"/>
      <c r="O11" s="99">
        <f t="shared" si="1"/>
        <v>11500.009399999999</v>
      </c>
      <c r="P11" s="72" t="s">
        <v>65</v>
      </c>
    </row>
    <row r="12" spans="1:25" s="73" customFormat="1" ht="17.399999999999999" customHeight="1" x14ac:dyDescent="0.3">
      <c r="A12" s="95" t="s">
        <v>92</v>
      </c>
      <c r="B12" s="95" t="s">
        <v>57</v>
      </c>
      <c r="C12" s="96">
        <v>1</v>
      </c>
      <c r="D12" s="97">
        <v>3705</v>
      </c>
      <c r="E12" s="95" t="s">
        <v>64</v>
      </c>
      <c r="F12" s="95"/>
      <c r="G12" s="99">
        <v>7024.81</v>
      </c>
      <c r="H12" s="95"/>
      <c r="I12" s="95">
        <f t="shared" si="0"/>
        <v>1475.2101</v>
      </c>
      <c r="J12" s="95"/>
      <c r="K12" s="100"/>
      <c r="L12" s="100"/>
      <c r="M12" s="101"/>
      <c r="N12" s="104"/>
      <c r="O12" s="99">
        <f t="shared" si="1"/>
        <v>8500.0200999999997</v>
      </c>
      <c r="P12" s="72" t="s">
        <v>66</v>
      </c>
    </row>
    <row r="13" spans="1:25" s="73" customFormat="1" ht="17.399999999999999" customHeight="1" x14ac:dyDescent="0.3">
      <c r="A13" s="95" t="s">
        <v>92</v>
      </c>
      <c r="B13" s="95" t="s">
        <v>57</v>
      </c>
      <c r="C13" s="96">
        <v>1</v>
      </c>
      <c r="D13" s="97">
        <v>3706</v>
      </c>
      <c r="E13" s="95" t="s">
        <v>64</v>
      </c>
      <c r="F13" s="95"/>
      <c r="G13" s="99">
        <v>9504.14</v>
      </c>
      <c r="H13" s="95"/>
      <c r="I13" s="95">
        <f t="shared" si="0"/>
        <v>1995.8693999999998</v>
      </c>
      <c r="J13" s="95"/>
      <c r="K13" s="100"/>
      <c r="L13" s="100"/>
      <c r="M13" s="101"/>
      <c r="N13" s="104"/>
      <c r="O13" s="99">
        <f t="shared" si="1"/>
        <v>11500.009399999999</v>
      </c>
      <c r="P13" s="72" t="s">
        <v>66</v>
      </c>
    </row>
    <row r="14" spans="1:25" s="73" customFormat="1" ht="17.399999999999999" customHeight="1" x14ac:dyDescent="0.3">
      <c r="A14" s="95" t="s">
        <v>92</v>
      </c>
      <c r="B14" s="95" t="s">
        <v>57</v>
      </c>
      <c r="C14" s="96">
        <v>1</v>
      </c>
      <c r="D14" s="97">
        <v>3707</v>
      </c>
      <c r="E14" s="95" t="s">
        <v>64</v>
      </c>
      <c r="F14" s="95"/>
      <c r="G14" s="95">
        <v>6528.9</v>
      </c>
      <c r="H14" s="95"/>
      <c r="I14" s="95">
        <f t="shared" si="0"/>
        <v>1371.069</v>
      </c>
      <c r="J14" s="95"/>
      <c r="K14" s="100"/>
      <c r="L14" s="100"/>
      <c r="M14" s="101"/>
      <c r="N14" s="104"/>
      <c r="O14" s="99">
        <f t="shared" si="1"/>
        <v>7899.9689999999991</v>
      </c>
      <c r="P14" s="72" t="s">
        <v>66</v>
      </c>
    </row>
    <row r="15" spans="1:25" s="73" customFormat="1" ht="17.399999999999999" customHeight="1" x14ac:dyDescent="0.3">
      <c r="A15" s="95" t="s">
        <v>92</v>
      </c>
      <c r="B15" s="95" t="s">
        <v>111</v>
      </c>
      <c r="C15" s="96">
        <v>1</v>
      </c>
      <c r="D15" s="97">
        <v>17</v>
      </c>
      <c r="E15" s="95" t="s">
        <v>63</v>
      </c>
      <c r="F15" s="98">
        <v>30678707909</v>
      </c>
      <c r="G15" s="95">
        <v>247933.9</v>
      </c>
      <c r="H15" s="95"/>
      <c r="I15" s="95">
        <f t="shared" si="0"/>
        <v>52066.118999999999</v>
      </c>
      <c r="J15" s="95"/>
      <c r="K15" s="100"/>
      <c r="L15" s="100"/>
      <c r="M15" s="101"/>
      <c r="N15" s="104"/>
      <c r="O15" s="99">
        <f t="shared" si="1"/>
        <v>300000.01899999997</v>
      </c>
      <c r="P15" s="72" t="s">
        <v>66</v>
      </c>
    </row>
    <row r="16" spans="1:25" s="73" customFormat="1" ht="17.399999999999999" customHeight="1" x14ac:dyDescent="0.3">
      <c r="A16" s="95" t="s">
        <v>92</v>
      </c>
      <c r="B16" s="95" t="s">
        <v>111</v>
      </c>
      <c r="C16" s="96">
        <v>1</v>
      </c>
      <c r="D16" s="97">
        <v>18</v>
      </c>
      <c r="E16" s="95" t="s">
        <v>63</v>
      </c>
      <c r="F16" s="98">
        <v>30678707909</v>
      </c>
      <c r="G16" s="95">
        <v>247933.9</v>
      </c>
      <c r="H16" s="95"/>
      <c r="I16" s="95">
        <f t="shared" si="0"/>
        <v>52066.118999999999</v>
      </c>
      <c r="J16" s="95"/>
      <c r="K16" s="100"/>
      <c r="L16" s="100"/>
      <c r="M16" s="101"/>
      <c r="N16" s="104"/>
      <c r="O16" s="99">
        <f t="shared" si="1"/>
        <v>300000.01899999997</v>
      </c>
      <c r="P16" s="72" t="s">
        <v>66</v>
      </c>
    </row>
    <row r="17" spans="1:16" s="73" customFormat="1" ht="17.399999999999999" customHeight="1" x14ac:dyDescent="0.3">
      <c r="A17" s="95" t="s">
        <v>93</v>
      </c>
      <c r="B17" s="95" t="s">
        <v>58</v>
      </c>
      <c r="C17" s="96">
        <v>1</v>
      </c>
      <c r="D17" s="97">
        <v>326</v>
      </c>
      <c r="E17" s="95" t="s">
        <v>90</v>
      </c>
      <c r="F17" s="98">
        <v>30707620192</v>
      </c>
      <c r="G17" s="98">
        <v>396000</v>
      </c>
      <c r="H17" s="95"/>
      <c r="I17" s="95">
        <f t="shared" si="0"/>
        <v>83160</v>
      </c>
      <c r="J17" s="95"/>
      <c r="K17" s="100"/>
      <c r="L17" s="100"/>
      <c r="M17" s="101"/>
      <c r="N17" s="104"/>
      <c r="O17" s="99">
        <f t="shared" si="1"/>
        <v>479160</v>
      </c>
      <c r="P17" s="72" t="s">
        <v>65</v>
      </c>
    </row>
    <row r="18" spans="1:16" s="73" customFormat="1" ht="17.399999999999999" customHeight="1" x14ac:dyDescent="0.3">
      <c r="A18" s="95" t="s">
        <v>93</v>
      </c>
      <c r="B18" s="95" t="s">
        <v>57</v>
      </c>
      <c r="C18" s="96">
        <v>1</v>
      </c>
      <c r="D18" s="97">
        <v>3708</v>
      </c>
      <c r="E18" s="95" t="s">
        <v>64</v>
      </c>
      <c r="F18" s="95"/>
      <c r="G18" s="99">
        <v>9504.14</v>
      </c>
      <c r="H18" s="95"/>
      <c r="I18" s="95">
        <f t="shared" si="0"/>
        <v>1995.8693999999998</v>
      </c>
      <c r="J18" s="95"/>
      <c r="K18" s="100"/>
      <c r="L18" s="100"/>
      <c r="M18" s="101"/>
      <c r="N18" s="104"/>
      <c r="O18" s="99">
        <f t="shared" si="1"/>
        <v>11500.009399999999</v>
      </c>
      <c r="P18" s="72" t="s">
        <v>65</v>
      </c>
    </row>
    <row r="19" spans="1:16" s="73" customFormat="1" ht="17.399999999999999" customHeight="1" x14ac:dyDescent="0.3">
      <c r="A19" s="95" t="s">
        <v>93</v>
      </c>
      <c r="B19" s="95" t="s">
        <v>57</v>
      </c>
      <c r="C19" s="96">
        <v>1</v>
      </c>
      <c r="D19" s="97">
        <v>3709</v>
      </c>
      <c r="E19" s="95" t="s">
        <v>64</v>
      </c>
      <c r="F19" s="95"/>
      <c r="G19" s="99">
        <v>9586.76</v>
      </c>
      <c r="H19" s="95"/>
      <c r="I19" s="95">
        <f t="shared" si="0"/>
        <v>2013.2195999999999</v>
      </c>
      <c r="J19" s="95"/>
      <c r="K19" s="100"/>
      <c r="L19" s="100"/>
      <c r="M19" s="101"/>
      <c r="N19" s="104"/>
      <c r="O19" s="99">
        <f t="shared" si="1"/>
        <v>11599.979600000001</v>
      </c>
      <c r="P19" s="72" t="s">
        <v>66</v>
      </c>
    </row>
    <row r="20" spans="1:16" s="73" customFormat="1" ht="17.399999999999999" customHeight="1" x14ac:dyDescent="0.3">
      <c r="A20" s="95" t="s">
        <v>93</v>
      </c>
      <c r="B20" s="95" t="s">
        <v>57</v>
      </c>
      <c r="C20" s="96">
        <v>1</v>
      </c>
      <c r="D20" s="97">
        <v>3710</v>
      </c>
      <c r="E20" s="95" t="s">
        <v>64</v>
      </c>
      <c r="F20" s="95"/>
      <c r="G20" s="99">
        <v>8429.76</v>
      </c>
      <c r="H20" s="95"/>
      <c r="I20" s="95">
        <f t="shared" si="0"/>
        <v>1770.2495999999999</v>
      </c>
      <c r="J20" s="95"/>
      <c r="K20" s="100"/>
      <c r="L20" s="100"/>
      <c r="M20" s="101"/>
      <c r="N20" s="104"/>
      <c r="O20" s="99">
        <f t="shared" si="1"/>
        <v>10200.009599999999</v>
      </c>
      <c r="P20" s="72" t="s">
        <v>66</v>
      </c>
    </row>
    <row r="21" spans="1:16" s="73" customFormat="1" ht="17.399999999999999" customHeight="1" x14ac:dyDescent="0.3">
      <c r="A21" s="95" t="s">
        <v>94</v>
      </c>
      <c r="B21" s="95" t="s">
        <v>58</v>
      </c>
      <c r="C21" s="96">
        <v>1</v>
      </c>
      <c r="D21" s="97">
        <v>327</v>
      </c>
      <c r="E21" s="95" t="s">
        <v>90</v>
      </c>
      <c r="F21" s="98">
        <v>30707620192</v>
      </c>
      <c r="G21" s="98">
        <v>414000</v>
      </c>
      <c r="H21" s="95"/>
      <c r="I21" s="95">
        <f t="shared" si="0"/>
        <v>86940</v>
      </c>
      <c r="J21" s="95"/>
      <c r="K21" s="100"/>
      <c r="L21" s="100"/>
      <c r="M21" s="101"/>
      <c r="N21" s="104"/>
      <c r="O21" s="99">
        <f t="shared" si="1"/>
        <v>500940</v>
      </c>
      <c r="P21" s="72" t="s">
        <v>66</v>
      </c>
    </row>
    <row r="22" spans="1:16" s="73" customFormat="1" ht="17.399999999999999" customHeight="1" x14ac:dyDescent="0.3">
      <c r="A22" s="95" t="s">
        <v>94</v>
      </c>
      <c r="B22" s="95" t="s">
        <v>57</v>
      </c>
      <c r="C22" s="96">
        <v>1</v>
      </c>
      <c r="D22" s="97">
        <v>3711</v>
      </c>
      <c r="E22" s="95" t="s">
        <v>64</v>
      </c>
      <c r="F22" s="95"/>
      <c r="G22" s="99">
        <v>9504.14</v>
      </c>
      <c r="H22" s="95"/>
      <c r="I22" s="95">
        <f t="shared" si="0"/>
        <v>1995.8693999999998</v>
      </c>
      <c r="J22" s="95"/>
      <c r="K22" s="100"/>
      <c r="L22" s="100"/>
      <c r="M22" s="101"/>
      <c r="N22" s="104"/>
      <c r="O22" s="99">
        <f t="shared" si="1"/>
        <v>11500.009399999999</v>
      </c>
      <c r="P22" s="72" t="s">
        <v>66</v>
      </c>
    </row>
    <row r="23" spans="1:16" s="74" customFormat="1" ht="17.399999999999999" customHeight="1" x14ac:dyDescent="0.3">
      <c r="A23" s="95" t="s">
        <v>94</v>
      </c>
      <c r="B23" s="95" t="s">
        <v>57</v>
      </c>
      <c r="C23" s="96">
        <v>1</v>
      </c>
      <c r="D23" s="97">
        <v>3712</v>
      </c>
      <c r="E23" s="95" t="s">
        <v>64</v>
      </c>
      <c r="F23" s="95"/>
      <c r="G23" s="99">
        <v>4876.05</v>
      </c>
      <c r="H23" s="95"/>
      <c r="I23" s="95">
        <f t="shared" si="0"/>
        <v>1023.9705</v>
      </c>
      <c r="J23" s="95"/>
      <c r="K23" s="102"/>
      <c r="L23" s="102"/>
      <c r="M23" s="103"/>
      <c r="N23" s="105"/>
      <c r="O23" s="99">
        <f t="shared" si="1"/>
        <v>5900.0205000000005</v>
      </c>
      <c r="P23" s="72" t="s">
        <v>67</v>
      </c>
    </row>
    <row r="24" spans="1:16" s="73" customFormat="1" ht="17.399999999999999" customHeight="1" x14ac:dyDescent="0.3">
      <c r="A24" s="95" t="s">
        <v>94</v>
      </c>
      <c r="B24" s="95" t="s">
        <v>57</v>
      </c>
      <c r="C24" s="96">
        <v>1</v>
      </c>
      <c r="D24" s="97">
        <v>3713</v>
      </c>
      <c r="E24" s="95" t="s">
        <v>64</v>
      </c>
      <c r="F24" s="95"/>
      <c r="G24" s="99">
        <v>9586.76</v>
      </c>
      <c r="H24" s="95"/>
      <c r="I24" s="95">
        <f t="shared" si="0"/>
        <v>2013.2195999999999</v>
      </c>
      <c r="J24" s="95"/>
      <c r="K24" s="100"/>
      <c r="L24" s="100"/>
      <c r="M24" s="101"/>
      <c r="N24" s="104"/>
      <c r="O24" s="99">
        <f t="shared" si="1"/>
        <v>11599.979600000001</v>
      </c>
      <c r="P24" s="72" t="s">
        <v>65</v>
      </c>
    </row>
    <row r="25" spans="1:16" s="73" customFormat="1" ht="17.399999999999999" customHeight="1" x14ac:dyDescent="0.3">
      <c r="A25" s="95" t="s">
        <v>95</v>
      </c>
      <c r="B25" s="95" t="s">
        <v>57</v>
      </c>
      <c r="C25" s="96">
        <v>1</v>
      </c>
      <c r="D25" s="97">
        <v>3714</v>
      </c>
      <c r="E25" s="95" t="s">
        <v>64</v>
      </c>
      <c r="F25" s="95"/>
      <c r="G25" s="99">
        <v>12892.57</v>
      </c>
      <c r="H25" s="95"/>
      <c r="I25" s="95">
        <f t="shared" si="0"/>
        <v>2707.4396999999999</v>
      </c>
      <c r="J25" s="95"/>
      <c r="K25" s="100"/>
      <c r="L25" s="100"/>
      <c r="M25" s="101"/>
      <c r="N25" s="104"/>
      <c r="O25" s="99">
        <f t="shared" si="1"/>
        <v>15600.009699999999</v>
      </c>
      <c r="P25" s="72" t="s">
        <v>65</v>
      </c>
    </row>
    <row r="26" spans="1:16" s="73" customFormat="1" ht="17.399999999999999" customHeight="1" x14ac:dyDescent="0.3">
      <c r="A26" s="95" t="s">
        <v>95</v>
      </c>
      <c r="B26" s="95" t="s">
        <v>57</v>
      </c>
      <c r="C26" s="96">
        <v>1</v>
      </c>
      <c r="D26" s="97">
        <v>3715</v>
      </c>
      <c r="E26" s="95" t="s">
        <v>64</v>
      </c>
      <c r="F26" s="95"/>
      <c r="G26" s="99">
        <v>2892.57</v>
      </c>
      <c r="H26" s="95"/>
      <c r="I26" s="95">
        <f t="shared" si="0"/>
        <v>607.43970000000002</v>
      </c>
      <c r="J26" s="95"/>
      <c r="K26" s="100"/>
      <c r="L26" s="100"/>
      <c r="M26" s="101"/>
      <c r="N26" s="104"/>
      <c r="O26" s="99">
        <f t="shared" si="1"/>
        <v>3500.0097000000001</v>
      </c>
      <c r="P26" s="72" t="s">
        <v>65</v>
      </c>
    </row>
    <row r="27" spans="1:16" s="73" customFormat="1" ht="17.399999999999999" customHeight="1" x14ac:dyDescent="0.3">
      <c r="A27" s="95" t="s">
        <v>95</v>
      </c>
      <c r="B27" s="95" t="s">
        <v>57</v>
      </c>
      <c r="C27" s="96">
        <v>1</v>
      </c>
      <c r="D27" s="97">
        <v>3716</v>
      </c>
      <c r="E27" s="95" t="s">
        <v>64</v>
      </c>
      <c r="F27" s="95"/>
      <c r="G27" s="95">
        <v>29090.9</v>
      </c>
      <c r="H27" s="95"/>
      <c r="I27" s="95">
        <f t="shared" si="0"/>
        <v>6109.0889999999999</v>
      </c>
      <c r="J27" s="95"/>
      <c r="K27" s="100"/>
      <c r="L27" s="100"/>
      <c r="M27" s="101"/>
      <c r="N27" s="104"/>
      <c r="O27" s="99">
        <f t="shared" si="1"/>
        <v>35199.989000000001</v>
      </c>
      <c r="P27" s="72" t="s">
        <v>65</v>
      </c>
    </row>
    <row r="28" spans="1:16" s="73" customFormat="1" ht="17.399999999999999" customHeight="1" x14ac:dyDescent="0.3">
      <c r="A28" s="95" t="s">
        <v>96</v>
      </c>
      <c r="B28" s="95" t="s">
        <v>57</v>
      </c>
      <c r="C28" s="96">
        <v>1</v>
      </c>
      <c r="D28" s="97">
        <v>3717</v>
      </c>
      <c r="E28" s="95" t="s">
        <v>64</v>
      </c>
      <c r="F28" s="95"/>
      <c r="G28" s="99">
        <v>10330.57</v>
      </c>
      <c r="H28" s="95"/>
      <c r="I28" s="95">
        <f t="shared" si="0"/>
        <v>2169.4196999999999</v>
      </c>
      <c r="J28" s="95"/>
      <c r="K28" s="100"/>
      <c r="L28" s="100"/>
      <c r="M28" s="101"/>
      <c r="N28" s="104"/>
      <c r="O28" s="99">
        <f t="shared" si="1"/>
        <v>12499.9897</v>
      </c>
      <c r="P28" s="72" t="s">
        <v>66</v>
      </c>
    </row>
    <row r="29" spans="1:16" s="73" customFormat="1" ht="17.399999999999999" customHeight="1" x14ac:dyDescent="0.3">
      <c r="A29" s="95" t="s">
        <v>96</v>
      </c>
      <c r="B29" s="95" t="s">
        <v>57</v>
      </c>
      <c r="C29" s="96">
        <v>1</v>
      </c>
      <c r="D29" s="97">
        <v>3718</v>
      </c>
      <c r="E29" s="95" t="s">
        <v>64</v>
      </c>
      <c r="F29" s="95"/>
      <c r="G29" s="99">
        <v>10413.24</v>
      </c>
      <c r="H29" s="95"/>
      <c r="I29" s="95">
        <f t="shared" si="0"/>
        <v>2186.7804000000001</v>
      </c>
      <c r="J29" s="95"/>
      <c r="K29" s="100"/>
      <c r="L29" s="100"/>
      <c r="M29" s="101"/>
      <c r="N29" s="104"/>
      <c r="O29" s="99">
        <f t="shared" si="1"/>
        <v>12600.020399999999</v>
      </c>
      <c r="P29" s="72" t="s">
        <v>66</v>
      </c>
    </row>
    <row r="30" spans="1:16" s="73" customFormat="1" ht="17.399999999999999" customHeight="1" x14ac:dyDescent="0.3">
      <c r="A30" s="95" t="s">
        <v>97</v>
      </c>
      <c r="B30" s="95" t="s">
        <v>57</v>
      </c>
      <c r="C30" s="96">
        <v>1</v>
      </c>
      <c r="D30" s="97">
        <v>3719</v>
      </c>
      <c r="E30" s="95" t="s">
        <v>64</v>
      </c>
      <c r="F30" s="95"/>
      <c r="G30" s="99">
        <v>20661.14</v>
      </c>
      <c r="H30" s="95"/>
      <c r="I30" s="95">
        <f t="shared" si="0"/>
        <v>4338.8393999999998</v>
      </c>
      <c r="J30" s="95"/>
      <c r="K30" s="100"/>
      <c r="L30" s="100"/>
      <c r="M30" s="101"/>
      <c r="N30" s="104"/>
      <c r="O30" s="99">
        <f t="shared" si="1"/>
        <v>24999.9794</v>
      </c>
      <c r="P30" s="72" t="s">
        <v>66</v>
      </c>
    </row>
    <row r="31" spans="1:16" s="73" customFormat="1" ht="17.399999999999999" customHeight="1" x14ac:dyDescent="0.3">
      <c r="A31" s="95" t="s">
        <v>97</v>
      </c>
      <c r="B31" s="95" t="s">
        <v>57</v>
      </c>
      <c r="C31" s="96">
        <v>1</v>
      </c>
      <c r="D31" s="97">
        <v>3720</v>
      </c>
      <c r="E31" s="95" t="s">
        <v>64</v>
      </c>
      <c r="F31" s="95"/>
      <c r="G31" s="99">
        <v>5702.48</v>
      </c>
      <c r="H31" s="95"/>
      <c r="I31" s="95">
        <f t="shared" si="0"/>
        <v>1197.5207999999998</v>
      </c>
      <c r="J31" s="95"/>
      <c r="K31" s="100"/>
      <c r="L31" s="100"/>
      <c r="M31" s="101"/>
      <c r="N31" s="104"/>
      <c r="O31" s="99">
        <f t="shared" si="1"/>
        <v>6900.0007999999998</v>
      </c>
      <c r="P31" s="72" t="s">
        <v>66</v>
      </c>
    </row>
    <row r="32" spans="1:16" s="73" customFormat="1" ht="17.399999999999999" customHeight="1" x14ac:dyDescent="0.3">
      <c r="A32" s="95" t="s">
        <v>97</v>
      </c>
      <c r="B32" s="95" t="s">
        <v>57</v>
      </c>
      <c r="C32" s="96">
        <v>1</v>
      </c>
      <c r="D32" s="97">
        <v>3721</v>
      </c>
      <c r="E32" s="95" t="s">
        <v>64</v>
      </c>
      <c r="F32" s="95"/>
      <c r="G32" s="99">
        <v>9256.19</v>
      </c>
      <c r="H32" s="95"/>
      <c r="I32" s="95">
        <f t="shared" si="0"/>
        <v>1943.7999</v>
      </c>
      <c r="J32" s="95"/>
      <c r="K32" s="100"/>
      <c r="L32" s="100"/>
      <c r="M32" s="101"/>
      <c r="N32" s="104"/>
      <c r="O32" s="99">
        <f t="shared" si="1"/>
        <v>11199.9899</v>
      </c>
      <c r="P32" s="72" t="s">
        <v>66</v>
      </c>
    </row>
    <row r="33" spans="1:16" s="73" customFormat="1" ht="17.399999999999999" customHeight="1" x14ac:dyDescent="0.3">
      <c r="A33" s="95" t="s">
        <v>97</v>
      </c>
      <c r="B33" s="95" t="s">
        <v>57</v>
      </c>
      <c r="C33" s="96">
        <v>1</v>
      </c>
      <c r="D33" s="97">
        <v>3722</v>
      </c>
      <c r="E33" s="95" t="s">
        <v>64</v>
      </c>
      <c r="F33" s="95"/>
      <c r="G33" s="99">
        <v>7024.81</v>
      </c>
      <c r="H33" s="95"/>
      <c r="I33" s="95">
        <f t="shared" si="0"/>
        <v>1475.2101</v>
      </c>
      <c r="J33" s="95"/>
      <c r="K33" s="100"/>
      <c r="L33" s="100"/>
      <c r="M33" s="101"/>
      <c r="N33" s="104"/>
      <c r="O33" s="99">
        <f t="shared" si="1"/>
        <v>8500.0200999999997</v>
      </c>
      <c r="P33" s="72" t="s">
        <v>66</v>
      </c>
    </row>
    <row r="34" spans="1:16" s="73" customFormat="1" ht="17.399999999999999" customHeight="1" x14ac:dyDescent="0.3">
      <c r="A34" s="95" t="s">
        <v>97</v>
      </c>
      <c r="B34" s="95" t="s">
        <v>57</v>
      </c>
      <c r="C34" s="96">
        <v>1</v>
      </c>
      <c r="D34" s="97">
        <v>3723</v>
      </c>
      <c r="E34" s="95" t="s">
        <v>98</v>
      </c>
      <c r="F34" s="98">
        <v>30668413958</v>
      </c>
      <c r="G34" s="99">
        <v>495867.76</v>
      </c>
      <c r="H34" s="95"/>
      <c r="I34" s="95">
        <f t="shared" si="0"/>
        <v>104132.22959999999</v>
      </c>
      <c r="J34" s="95"/>
      <c r="K34" s="100"/>
      <c r="L34" s="100"/>
      <c r="M34" s="101"/>
      <c r="N34" s="104"/>
      <c r="O34" s="99">
        <f t="shared" si="1"/>
        <v>599999.98959999997</v>
      </c>
      <c r="P34" s="72" t="s">
        <v>65</v>
      </c>
    </row>
    <row r="35" spans="1:16" s="73" customFormat="1" ht="17.399999999999999" customHeight="1" x14ac:dyDescent="0.3">
      <c r="A35" s="95" t="s">
        <v>97</v>
      </c>
      <c r="B35" s="95" t="s">
        <v>111</v>
      </c>
      <c r="C35" s="96">
        <v>1</v>
      </c>
      <c r="D35" s="97">
        <v>19</v>
      </c>
      <c r="E35" s="95" t="s">
        <v>63</v>
      </c>
      <c r="F35" s="98">
        <v>30678707909</v>
      </c>
      <c r="G35" s="99">
        <v>495867.76</v>
      </c>
      <c r="H35" s="95"/>
      <c r="I35" s="95">
        <f t="shared" si="0"/>
        <v>104132.22959999999</v>
      </c>
      <c r="J35" s="95"/>
      <c r="K35" s="100"/>
      <c r="L35" s="100"/>
      <c r="M35" s="101"/>
      <c r="N35" s="104"/>
      <c r="O35" s="99">
        <f t="shared" si="1"/>
        <v>599999.98959999997</v>
      </c>
      <c r="P35" s="72" t="s">
        <v>65</v>
      </c>
    </row>
    <row r="36" spans="1:16" s="73" customFormat="1" ht="17.399999999999999" customHeight="1" x14ac:dyDescent="0.3">
      <c r="A36" s="95" t="s">
        <v>99</v>
      </c>
      <c r="B36" s="95" t="s">
        <v>57</v>
      </c>
      <c r="C36" s="96">
        <v>1</v>
      </c>
      <c r="D36" s="97">
        <v>3724</v>
      </c>
      <c r="E36" s="95" t="s">
        <v>64</v>
      </c>
      <c r="F36" s="95"/>
      <c r="G36" s="99">
        <v>8677.67</v>
      </c>
      <c r="H36" s="95"/>
      <c r="I36" s="95">
        <f t="shared" si="0"/>
        <v>1822.3107</v>
      </c>
      <c r="J36" s="95"/>
      <c r="K36" s="100"/>
      <c r="L36" s="100"/>
      <c r="M36" s="101"/>
      <c r="N36" s="104"/>
      <c r="O36" s="99">
        <f t="shared" si="1"/>
        <v>10499.9807</v>
      </c>
      <c r="P36" s="72" t="s">
        <v>66</v>
      </c>
    </row>
    <row r="37" spans="1:16" s="73" customFormat="1" ht="17.399999999999999" customHeight="1" x14ac:dyDescent="0.3">
      <c r="A37" s="95" t="s">
        <v>99</v>
      </c>
      <c r="B37" s="95" t="s">
        <v>57</v>
      </c>
      <c r="C37" s="96">
        <v>1</v>
      </c>
      <c r="D37" s="97">
        <v>3725</v>
      </c>
      <c r="E37" s="95" t="s">
        <v>64</v>
      </c>
      <c r="F37" s="95"/>
      <c r="G37" s="99">
        <v>8099.19</v>
      </c>
      <c r="H37" s="95"/>
      <c r="I37" s="95">
        <f t="shared" si="0"/>
        <v>1700.8299</v>
      </c>
      <c r="J37" s="95"/>
      <c r="K37" s="100"/>
      <c r="L37" s="100"/>
      <c r="M37" s="101"/>
      <c r="N37" s="104"/>
      <c r="O37" s="99">
        <f t="shared" si="1"/>
        <v>9800.0198999999993</v>
      </c>
      <c r="P37" s="72" t="s">
        <v>66</v>
      </c>
    </row>
    <row r="38" spans="1:16" s="74" customFormat="1" ht="17.399999999999999" customHeight="1" x14ac:dyDescent="0.3">
      <c r="A38" s="95" t="s">
        <v>100</v>
      </c>
      <c r="B38" s="95" t="s">
        <v>58</v>
      </c>
      <c r="C38" s="96">
        <v>1</v>
      </c>
      <c r="D38" s="97">
        <v>328</v>
      </c>
      <c r="E38" s="95" t="s">
        <v>90</v>
      </c>
      <c r="F38" s="98">
        <v>30707620192</v>
      </c>
      <c r="G38" s="98">
        <v>480000</v>
      </c>
      <c r="H38" s="95"/>
      <c r="I38" s="95">
        <f t="shared" si="0"/>
        <v>100800</v>
      </c>
      <c r="J38" s="95"/>
      <c r="K38" s="102"/>
      <c r="L38" s="102"/>
      <c r="M38" s="103"/>
      <c r="N38" s="105"/>
      <c r="O38" s="99">
        <f t="shared" si="1"/>
        <v>580800</v>
      </c>
      <c r="P38" s="72" t="s">
        <v>67</v>
      </c>
    </row>
    <row r="39" spans="1:16" s="73" customFormat="1" ht="17.399999999999999" customHeight="1" x14ac:dyDescent="0.3">
      <c r="A39" s="95" t="s">
        <v>100</v>
      </c>
      <c r="B39" s="95" t="s">
        <v>57</v>
      </c>
      <c r="C39" s="96">
        <v>1</v>
      </c>
      <c r="D39" s="97">
        <v>3726</v>
      </c>
      <c r="E39" s="95" t="s">
        <v>64</v>
      </c>
      <c r="F39" s="95"/>
      <c r="G39" s="99">
        <v>9256.19</v>
      </c>
      <c r="H39" s="95"/>
      <c r="I39" s="95">
        <f t="shared" si="0"/>
        <v>1943.7999</v>
      </c>
      <c r="J39" s="95"/>
      <c r="K39" s="100"/>
      <c r="L39" s="100"/>
      <c r="M39" s="101"/>
      <c r="N39" s="104"/>
      <c r="O39" s="99">
        <f t="shared" ref="O39:O72" si="2">SUM(G39:J39)</f>
        <v>11199.9899</v>
      </c>
      <c r="P39" s="72" t="s">
        <v>65</v>
      </c>
    </row>
    <row r="40" spans="1:16" s="73" customFormat="1" ht="17.399999999999999" customHeight="1" x14ac:dyDescent="0.3">
      <c r="A40" s="95" t="s">
        <v>100</v>
      </c>
      <c r="B40" s="95" t="s">
        <v>57</v>
      </c>
      <c r="C40" s="96">
        <v>1</v>
      </c>
      <c r="D40" s="97">
        <v>3727</v>
      </c>
      <c r="E40" s="95" t="s">
        <v>64</v>
      </c>
      <c r="F40" s="95"/>
      <c r="G40" s="95">
        <v>7933.9</v>
      </c>
      <c r="H40" s="95"/>
      <c r="I40" s="95">
        <f t="shared" si="0"/>
        <v>1666.1189999999999</v>
      </c>
      <c r="J40" s="95"/>
      <c r="K40" s="100"/>
      <c r="L40" s="100"/>
      <c r="M40" s="101"/>
      <c r="N40" s="104"/>
      <c r="O40" s="99">
        <f t="shared" si="2"/>
        <v>9600.0190000000002</v>
      </c>
      <c r="P40" s="72" t="s">
        <v>65</v>
      </c>
    </row>
    <row r="41" spans="1:16" s="73" customFormat="1" ht="17.399999999999999" customHeight="1" x14ac:dyDescent="0.3">
      <c r="A41" s="95" t="s">
        <v>101</v>
      </c>
      <c r="B41" s="95" t="s">
        <v>58</v>
      </c>
      <c r="C41" s="96">
        <v>1</v>
      </c>
      <c r="D41" s="97">
        <v>329</v>
      </c>
      <c r="E41" s="95" t="s">
        <v>90</v>
      </c>
      <c r="F41" s="98">
        <v>30707620192</v>
      </c>
      <c r="G41" s="98">
        <v>612000</v>
      </c>
      <c r="H41" s="95"/>
      <c r="I41" s="95">
        <f t="shared" si="0"/>
        <v>128520</v>
      </c>
      <c r="J41" s="95"/>
      <c r="K41" s="100"/>
      <c r="L41" s="100"/>
      <c r="M41" s="101"/>
      <c r="N41" s="104"/>
      <c r="O41" s="99">
        <f t="shared" si="2"/>
        <v>740520</v>
      </c>
      <c r="P41" s="72" t="s">
        <v>65</v>
      </c>
    </row>
    <row r="42" spans="1:16" s="73" customFormat="1" ht="17.399999999999999" customHeight="1" x14ac:dyDescent="0.3">
      <c r="A42" s="95" t="s">
        <v>101</v>
      </c>
      <c r="B42" s="95" t="s">
        <v>57</v>
      </c>
      <c r="C42" s="96">
        <v>1</v>
      </c>
      <c r="D42" s="97">
        <v>3728</v>
      </c>
      <c r="E42" s="95" t="s">
        <v>64</v>
      </c>
      <c r="F42" s="95"/>
      <c r="G42" s="99">
        <v>8677.67</v>
      </c>
      <c r="H42" s="95"/>
      <c r="I42" s="95">
        <f t="shared" si="0"/>
        <v>1822.3107</v>
      </c>
      <c r="J42" s="95"/>
      <c r="K42" s="100"/>
      <c r="L42" s="100"/>
      <c r="M42" s="101"/>
      <c r="N42" s="104"/>
      <c r="O42" s="99">
        <f t="shared" si="2"/>
        <v>10499.9807</v>
      </c>
      <c r="P42" s="72" t="s">
        <v>65</v>
      </c>
    </row>
    <row r="43" spans="1:16" s="73" customFormat="1" ht="17.399999999999999" customHeight="1" x14ac:dyDescent="0.3">
      <c r="A43" s="95" t="s">
        <v>101</v>
      </c>
      <c r="B43" s="95" t="s">
        <v>57</v>
      </c>
      <c r="C43" s="96">
        <v>1</v>
      </c>
      <c r="D43" s="97">
        <v>3729</v>
      </c>
      <c r="E43" s="95" t="s">
        <v>64</v>
      </c>
      <c r="F43" s="95"/>
      <c r="G43" s="99">
        <v>9256.19</v>
      </c>
      <c r="H43" s="95"/>
      <c r="I43" s="95">
        <f t="shared" si="0"/>
        <v>1943.7999</v>
      </c>
      <c r="J43" s="95"/>
      <c r="K43" s="100"/>
      <c r="L43" s="100"/>
      <c r="M43" s="101"/>
      <c r="N43" s="104"/>
      <c r="O43" s="99">
        <f t="shared" si="2"/>
        <v>11199.9899</v>
      </c>
      <c r="P43" s="72" t="s">
        <v>65</v>
      </c>
    </row>
    <row r="44" spans="1:16" s="73" customFormat="1" ht="17.399999999999999" customHeight="1" x14ac:dyDescent="0.3">
      <c r="A44" s="95" t="s">
        <v>102</v>
      </c>
      <c r="B44" s="95" t="s">
        <v>58</v>
      </c>
      <c r="C44" s="96">
        <v>1</v>
      </c>
      <c r="D44" s="97">
        <v>330</v>
      </c>
      <c r="E44" s="95" t="s">
        <v>90</v>
      </c>
      <c r="F44" s="98">
        <v>30707620192</v>
      </c>
      <c r="G44" s="98">
        <v>612000</v>
      </c>
      <c r="H44" s="95"/>
      <c r="I44" s="95">
        <f t="shared" si="0"/>
        <v>128520</v>
      </c>
      <c r="J44" s="95"/>
      <c r="K44" s="100"/>
      <c r="L44" s="100"/>
      <c r="M44" s="101"/>
      <c r="N44" s="104"/>
      <c r="O44" s="99">
        <f t="shared" si="2"/>
        <v>740520</v>
      </c>
      <c r="P44" s="72" t="s">
        <v>66</v>
      </c>
    </row>
    <row r="45" spans="1:16" s="73" customFormat="1" ht="17.399999999999999" customHeight="1" x14ac:dyDescent="0.3">
      <c r="A45" s="95" t="s">
        <v>102</v>
      </c>
      <c r="B45" s="95" t="s">
        <v>57</v>
      </c>
      <c r="C45" s="96">
        <v>1</v>
      </c>
      <c r="D45" s="97">
        <v>3730</v>
      </c>
      <c r="E45" s="95" t="s">
        <v>64</v>
      </c>
      <c r="F45" s="95"/>
      <c r="G45" s="99">
        <v>8677.67</v>
      </c>
      <c r="H45" s="95"/>
      <c r="I45" s="95">
        <f t="shared" si="0"/>
        <v>1822.3107</v>
      </c>
      <c r="J45" s="95"/>
      <c r="K45" s="100"/>
      <c r="L45" s="100"/>
      <c r="M45" s="101"/>
      <c r="N45" s="104"/>
      <c r="O45" s="99">
        <f t="shared" si="2"/>
        <v>10499.9807</v>
      </c>
      <c r="P45" s="72" t="s">
        <v>66</v>
      </c>
    </row>
    <row r="46" spans="1:16" s="73" customFormat="1" ht="17.399999999999999" customHeight="1" x14ac:dyDescent="0.3">
      <c r="A46" s="95" t="s">
        <v>102</v>
      </c>
      <c r="B46" s="95" t="s">
        <v>57</v>
      </c>
      <c r="C46" s="96">
        <v>1</v>
      </c>
      <c r="D46" s="97">
        <v>3731</v>
      </c>
      <c r="E46" s="95" t="s">
        <v>64</v>
      </c>
      <c r="F46" s="95"/>
      <c r="G46" s="99">
        <v>9669.43</v>
      </c>
      <c r="H46" s="95"/>
      <c r="I46" s="95">
        <f t="shared" si="0"/>
        <v>2030.5803000000001</v>
      </c>
      <c r="J46" s="95"/>
      <c r="K46" s="100"/>
      <c r="L46" s="100"/>
      <c r="M46" s="101"/>
      <c r="N46" s="104"/>
      <c r="O46" s="99">
        <f t="shared" si="2"/>
        <v>11700.0103</v>
      </c>
      <c r="P46" s="72" t="s">
        <v>66</v>
      </c>
    </row>
    <row r="47" spans="1:16" s="73" customFormat="1" ht="17.399999999999999" customHeight="1" x14ac:dyDescent="0.3">
      <c r="A47" s="95" t="s">
        <v>102</v>
      </c>
      <c r="B47" s="95" t="s">
        <v>57</v>
      </c>
      <c r="C47" s="96">
        <v>1</v>
      </c>
      <c r="D47" s="97">
        <v>3732</v>
      </c>
      <c r="E47" s="95" t="s">
        <v>64</v>
      </c>
      <c r="F47" s="95"/>
      <c r="G47" s="99">
        <v>9752.0499999999993</v>
      </c>
      <c r="H47" s="95"/>
      <c r="I47" s="95">
        <f t="shared" si="0"/>
        <v>2047.9304999999997</v>
      </c>
      <c r="J47" s="95"/>
      <c r="K47" s="100"/>
      <c r="L47" s="100"/>
      <c r="M47" s="101"/>
      <c r="N47" s="104"/>
      <c r="O47" s="99">
        <f t="shared" si="2"/>
        <v>11799.9805</v>
      </c>
      <c r="P47" s="72" t="s">
        <v>66</v>
      </c>
    </row>
    <row r="48" spans="1:16" s="73" customFormat="1" ht="17.399999999999999" customHeight="1" x14ac:dyDescent="0.3">
      <c r="A48" s="95" t="s">
        <v>103</v>
      </c>
      <c r="B48" s="95" t="s">
        <v>57</v>
      </c>
      <c r="C48" s="96">
        <v>1</v>
      </c>
      <c r="D48" s="97">
        <v>3733</v>
      </c>
      <c r="E48" s="95" t="s">
        <v>64</v>
      </c>
      <c r="F48" s="95"/>
      <c r="G48" s="99">
        <v>11157.05</v>
      </c>
      <c r="H48" s="95"/>
      <c r="I48" s="95">
        <f t="shared" si="0"/>
        <v>2342.9804999999997</v>
      </c>
      <c r="J48" s="95"/>
      <c r="K48" s="100"/>
      <c r="L48" s="100"/>
      <c r="M48" s="101"/>
      <c r="N48" s="104"/>
      <c r="O48" s="99">
        <f t="shared" si="2"/>
        <v>13500.030499999999</v>
      </c>
      <c r="P48" s="72" t="s">
        <v>65</v>
      </c>
    </row>
    <row r="49" spans="1:16" s="73" customFormat="1" ht="17.399999999999999" customHeight="1" x14ac:dyDescent="0.3">
      <c r="A49" s="95" t="s">
        <v>103</v>
      </c>
      <c r="B49" s="95" t="s">
        <v>57</v>
      </c>
      <c r="C49" s="96">
        <v>1</v>
      </c>
      <c r="D49" s="97">
        <v>3734</v>
      </c>
      <c r="E49" s="95" t="s">
        <v>64</v>
      </c>
      <c r="F49" s="95"/>
      <c r="G49" s="99">
        <v>9752.0499999999993</v>
      </c>
      <c r="H49" s="95"/>
      <c r="I49" s="95">
        <f t="shared" si="0"/>
        <v>2047.9304999999997</v>
      </c>
      <c r="J49" s="95"/>
      <c r="K49" s="100"/>
      <c r="L49" s="100"/>
      <c r="M49" s="101"/>
      <c r="N49" s="104"/>
      <c r="O49" s="99">
        <f t="shared" si="2"/>
        <v>11799.9805</v>
      </c>
      <c r="P49" s="72" t="s">
        <v>65</v>
      </c>
    </row>
    <row r="50" spans="1:16" s="73" customFormat="1" ht="17.399999999999999" customHeight="1" x14ac:dyDescent="0.3">
      <c r="A50" s="95" t="s">
        <v>103</v>
      </c>
      <c r="B50" s="95" t="s">
        <v>57</v>
      </c>
      <c r="C50" s="96">
        <v>1</v>
      </c>
      <c r="D50" s="97">
        <v>3735</v>
      </c>
      <c r="E50" s="95" t="s">
        <v>64</v>
      </c>
      <c r="F50" s="95"/>
      <c r="G50" s="99">
        <v>7024.81</v>
      </c>
      <c r="H50" s="95"/>
      <c r="I50" s="95">
        <f t="shared" si="0"/>
        <v>1475.2101</v>
      </c>
      <c r="J50" s="95"/>
      <c r="K50" s="100"/>
      <c r="L50" s="100"/>
      <c r="M50" s="101"/>
      <c r="N50" s="104"/>
      <c r="O50" s="99">
        <f t="shared" si="2"/>
        <v>8500.0200999999997</v>
      </c>
      <c r="P50" s="72" t="s">
        <v>66</v>
      </c>
    </row>
    <row r="51" spans="1:16" s="73" customFormat="1" ht="17.399999999999999" customHeight="1" x14ac:dyDescent="0.3">
      <c r="A51" s="95" t="s">
        <v>104</v>
      </c>
      <c r="B51" s="95" t="s">
        <v>57</v>
      </c>
      <c r="C51" s="96">
        <v>1</v>
      </c>
      <c r="D51" s="97">
        <v>3736</v>
      </c>
      <c r="E51" s="95" t="s">
        <v>64</v>
      </c>
      <c r="F51" s="95"/>
      <c r="G51" s="99">
        <v>7024.81</v>
      </c>
      <c r="H51" s="95"/>
      <c r="I51" s="95">
        <f t="shared" si="0"/>
        <v>1475.2101</v>
      </c>
      <c r="J51" s="95"/>
      <c r="K51" s="100"/>
      <c r="L51" s="100"/>
      <c r="M51" s="101"/>
      <c r="N51" s="104"/>
      <c r="O51" s="99">
        <f t="shared" si="2"/>
        <v>8500.0200999999997</v>
      </c>
      <c r="P51" s="72" t="s">
        <v>66</v>
      </c>
    </row>
    <row r="52" spans="1:16" s="73" customFormat="1" ht="17.399999999999999" customHeight="1" x14ac:dyDescent="0.3">
      <c r="A52" s="95" t="s">
        <v>104</v>
      </c>
      <c r="B52" s="95" t="s">
        <v>57</v>
      </c>
      <c r="C52" s="96">
        <v>1</v>
      </c>
      <c r="D52" s="97">
        <v>3737</v>
      </c>
      <c r="E52" s="95" t="s">
        <v>64</v>
      </c>
      <c r="F52" s="95"/>
      <c r="G52" s="99">
        <v>7851.24</v>
      </c>
      <c r="H52" s="95"/>
      <c r="I52" s="95">
        <f t="shared" si="0"/>
        <v>1648.7603999999999</v>
      </c>
      <c r="J52" s="95"/>
      <c r="K52" s="100"/>
      <c r="L52" s="100"/>
      <c r="M52" s="101"/>
      <c r="N52" s="104"/>
      <c r="O52" s="99">
        <f t="shared" si="2"/>
        <v>9500.000399999999</v>
      </c>
      <c r="P52" s="72" t="s">
        <v>66</v>
      </c>
    </row>
    <row r="53" spans="1:16" s="73" customFormat="1" ht="17.399999999999999" customHeight="1" x14ac:dyDescent="0.3">
      <c r="A53" s="95" t="s">
        <v>104</v>
      </c>
      <c r="B53" s="95" t="s">
        <v>57</v>
      </c>
      <c r="C53" s="96">
        <v>1</v>
      </c>
      <c r="D53" s="97">
        <v>3738</v>
      </c>
      <c r="E53" s="95" t="s">
        <v>64</v>
      </c>
      <c r="F53" s="95"/>
      <c r="G53" s="95">
        <v>7933.9</v>
      </c>
      <c r="H53" s="95"/>
      <c r="I53" s="95">
        <f t="shared" si="0"/>
        <v>1666.1189999999999</v>
      </c>
      <c r="J53" s="95"/>
      <c r="K53" s="100"/>
      <c r="L53" s="100"/>
      <c r="M53" s="101"/>
      <c r="N53" s="104"/>
      <c r="O53" s="99">
        <f t="shared" si="2"/>
        <v>9600.0190000000002</v>
      </c>
      <c r="P53" s="72" t="s">
        <v>66</v>
      </c>
    </row>
    <row r="54" spans="1:16" s="73" customFormat="1" ht="17.399999999999999" customHeight="1" x14ac:dyDescent="0.3">
      <c r="A54" s="95" t="s">
        <v>105</v>
      </c>
      <c r="B54" s="95" t="s">
        <v>57</v>
      </c>
      <c r="C54" s="96">
        <v>1</v>
      </c>
      <c r="D54" s="97">
        <v>3739</v>
      </c>
      <c r="E54" s="95" t="s">
        <v>64</v>
      </c>
      <c r="F54" s="95"/>
      <c r="G54" s="99">
        <v>13057.86</v>
      </c>
      <c r="H54" s="95"/>
      <c r="I54" s="95">
        <f t="shared" si="0"/>
        <v>2742.1505999999999</v>
      </c>
      <c r="J54" s="95"/>
      <c r="K54" s="100"/>
      <c r="L54" s="100"/>
      <c r="M54" s="101"/>
      <c r="N54" s="104"/>
      <c r="O54" s="99">
        <f t="shared" si="2"/>
        <v>15800.010600000001</v>
      </c>
      <c r="P54" s="72" t="s">
        <v>65</v>
      </c>
    </row>
    <row r="55" spans="1:16" s="74" customFormat="1" ht="17.399999999999999" customHeight="1" x14ac:dyDescent="0.3">
      <c r="A55" s="95" t="s">
        <v>105</v>
      </c>
      <c r="B55" s="95" t="s">
        <v>57</v>
      </c>
      <c r="C55" s="96">
        <v>1</v>
      </c>
      <c r="D55" s="97">
        <v>3740</v>
      </c>
      <c r="E55" s="95" t="s">
        <v>64</v>
      </c>
      <c r="F55" s="95"/>
      <c r="G55" s="99">
        <v>10330.57</v>
      </c>
      <c r="H55" s="95"/>
      <c r="I55" s="95">
        <f t="shared" si="0"/>
        <v>2169.4196999999999</v>
      </c>
      <c r="J55" s="95"/>
      <c r="K55" s="102"/>
      <c r="L55" s="102"/>
      <c r="M55" s="103"/>
      <c r="N55" s="105"/>
      <c r="O55" s="99">
        <f t="shared" si="2"/>
        <v>12499.9897</v>
      </c>
      <c r="P55" s="72" t="s">
        <v>67</v>
      </c>
    </row>
    <row r="56" spans="1:16" s="73" customFormat="1" ht="17.399999999999999" customHeight="1" x14ac:dyDescent="0.3">
      <c r="A56" s="95" t="s">
        <v>105</v>
      </c>
      <c r="B56" s="95" t="s">
        <v>57</v>
      </c>
      <c r="C56" s="96">
        <v>1</v>
      </c>
      <c r="D56" s="97">
        <v>3741</v>
      </c>
      <c r="E56" s="95" t="s">
        <v>64</v>
      </c>
      <c r="F56" s="95"/>
      <c r="G56" s="99">
        <v>8099.19</v>
      </c>
      <c r="H56" s="95"/>
      <c r="I56" s="95">
        <f t="shared" si="0"/>
        <v>1700.8299</v>
      </c>
      <c r="J56" s="95"/>
      <c r="K56" s="100"/>
      <c r="L56" s="100"/>
      <c r="M56" s="101"/>
      <c r="N56" s="104"/>
      <c r="O56" s="99">
        <f t="shared" si="2"/>
        <v>9800.0198999999993</v>
      </c>
      <c r="P56" s="72" t="s">
        <v>65</v>
      </c>
    </row>
    <row r="57" spans="1:16" s="73" customFormat="1" ht="17.399999999999999" customHeight="1" x14ac:dyDescent="0.3">
      <c r="A57" s="95" t="s">
        <v>81</v>
      </c>
      <c r="B57" s="95" t="s">
        <v>57</v>
      </c>
      <c r="C57" s="96">
        <v>1</v>
      </c>
      <c r="D57" s="97">
        <v>3742</v>
      </c>
      <c r="E57" s="95" t="s">
        <v>64</v>
      </c>
      <c r="F57" s="95"/>
      <c r="G57" s="99">
        <v>13966.95</v>
      </c>
      <c r="H57" s="95"/>
      <c r="I57" s="95">
        <f t="shared" si="0"/>
        <v>2933.0594999999998</v>
      </c>
      <c r="J57" s="95"/>
      <c r="K57" s="100"/>
      <c r="L57" s="100"/>
      <c r="M57" s="101"/>
      <c r="N57" s="104"/>
      <c r="O57" s="99">
        <f t="shared" si="2"/>
        <v>16900.0095</v>
      </c>
      <c r="P57" s="72" t="s">
        <v>65</v>
      </c>
    </row>
    <row r="58" spans="1:16" s="73" customFormat="1" ht="17.399999999999999" customHeight="1" x14ac:dyDescent="0.3">
      <c r="A58" s="95" t="s">
        <v>81</v>
      </c>
      <c r="B58" s="95" t="s">
        <v>57</v>
      </c>
      <c r="C58" s="96">
        <v>1</v>
      </c>
      <c r="D58" s="97">
        <v>3743</v>
      </c>
      <c r="E58" s="95" t="s">
        <v>64</v>
      </c>
      <c r="F58" s="95"/>
      <c r="G58" s="99">
        <v>7355.38</v>
      </c>
      <c r="H58" s="95"/>
      <c r="I58" s="95">
        <f t="shared" si="0"/>
        <v>1544.6297999999999</v>
      </c>
      <c r="J58" s="95"/>
      <c r="K58" s="100"/>
      <c r="L58" s="100"/>
      <c r="M58" s="101"/>
      <c r="N58" s="104"/>
      <c r="O58" s="99">
        <f t="shared" si="2"/>
        <v>8900.0097999999998</v>
      </c>
      <c r="P58" s="72" t="s">
        <v>65</v>
      </c>
    </row>
    <row r="59" spans="1:16" s="73" customFormat="1" ht="17.399999999999999" customHeight="1" x14ac:dyDescent="0.3">
      <c r="A59" s="95" t="s">
        <v>81</v>
      </c>
      <c r="B59" s="95" t="s">
        <v>57</v>
      </c>
      <c r="C59" s="96">
        <v>1</v>
      </c>
      <c r="D59" s="97">
        <v>3744</v>
      </c>
      <c r="E59" s="95" t="s">
        <v>64</v>
      </c>
      <c r="F59" s="95"/>
      <c r="G59" s="99">
        <v>9504.14</v>
      </c>
      <c r="H59" s="95"/>
      <c r="I59" s="95">
        <f t="shared" si="0"/>
        <v>1995.8693999999998</v>
      </c>
      <c r="J59" s="95"/>
      <c r="K59" s="100"/>
      <c r="L59" s="100"/>
      <c r="M59" s="101"/>
      <c r="N59" s="104"/>
      <c r="O59" s="99">
        <f t="shared" si="2"/>
        <v>11500.009399999999</v>
      </c>
      <c r="P59" s="72" t="s">
        <v>66</v>
      </c>
    </row>
    <row r="60" spans="1:16" s="73" customFormat="1" ht="17.399999999999999" customHeight="1" x14ac:dyDescent="0.3">
      <c r="A60" s="95" t="s">
        <v>106</v>
      </c>
      <c r="B60" s="95" t="s">
        <v>57</v>
      </c>
      <c r="C60" s="96">
        <v>1</v>
      </c>
      <c r="D60" s="97">
        <v>3745</v>
      </c>
      <c r="E60" s="95" t="s">
        <v>64</v>
      </c>
      <c r="F60" s="95"/>
      <c r="G60" s="99">
        <v>14462.81</v>
      </c>
      <c r="H60" s="95"/>
      <c r="I60" s="95">
        <f t="shared" si="0"/>
        <v>3037.1900999999998</v>
      </c>
      <c r="J60" s="95"/>
      <c r="K60" s="100"/>
      <c r="L60" s="100"/>
      <c r="M60" s="101"/>
      <c r="N60" s="104"/>
      <c r="O60" s="99">
        <f t="shared" si="2"/>
        <v>17500.000099999997</v>
      </c>
      <c r="P60" s="72" t="s">
        <v>66</v>
      </c>
    </row>
    <row r="61" spans="1:16" s="73" customFormat="1" ht="17.399999999999999" customHeight="1" x14ac:dyDescent="0.3">
      <c r="A61" s="95" t="s">
        <v>106</v>
      </c>
      <c r="B61" s="95" t="s">
        <v>57</v>
      </c>
      <c r="C61" s="96">
        <v>1</v>
      </c>
      <c r="D61" s="97">
        <v>3746</v>
      </c>
      <c r="E61" s="95" t="s">
        <v>64</v>
      </c>
      <c r="F61" s="95"/>
      <c r="G61" s="99">
        <v>12892.57</v>
      </c>
      <c r="H61" s="95"/>
      <c r="I61" s="95">
        <f t="shared" si="0"/>
        <v>2707.4396999999999</v>
      </c>
      <c r="J61" s="95"/>
      <c r="K61" s="100"/>
      <c r="L61" s="100"/>
      <c r="M61" s="101"/>
      <c r="N61" s="104"/>
      <c r="O61" s="99">
        <f t="shared" si="2"/>
        <v>15600.009699999999</v>
      </c>
      <c r="P61" s="72" t="s">
        <v>65</v>
      </c>
    </row>
    <row r="62" spans="1:16" s="73" customFormat="1" ht="17.399999999999999" customHeight="1" x14ac:dyDescent="0.3">
      <c r="A62" s="95" t="s">
        <v>106</v>
      </c>
      <c r="B62" s="95" t="s">
        <v>57</v>
      </c>
      <c r="C62" s="96">
        <v>1</v>
      </c>
      <c r="D62" s="97">
        <v>3747</v>
      </c>
      <c r="E62" s="95" t="s">
        <v>64</v>
      </c>
      <c r="F62" s="95"/>
      <c r="G62" s="99">
        <v>12148.76</v>
      </c>
      <c r="H62" s="95"/>
      <c r="I62" s="95">
        <f t="shared" si="0"/>
        <v>2551.2395999999999</v>
      </c>
      <c r="J62" s="95"/>
      <c r="K62" s="100"/>
      <c r="L62" s="100"/>
      <c r="M62" s="101"/>
      <c r="N62" s="104"/>
      <c r="O62" s="99">
        <f t="shared" si="2"/>
        <v>14699.999599999999</v>
      </c>
      <c r="P62" s="72" t="s">
        <v>65</v>
      </c>
    </row>
    <row r="63" spans="1:16" s="73" customFormat="1" ht="17.399999999999999" customHeight="1" x14ac:dyDescent="0.3">
      <c r="A63" s="95" t="s">
        <v>106</v>
      </c>
      <c r="B63" s="95" t="s">
        <v>57</v>
      </c>
      <c r="C63" s="96">
        <v>1</v>
      </c>
      <c r="D63" s="97">
        <v>3748</v>
      </c>
      <c r="E63" s="95" t="s">
        <v>64</v>
      </c>
      <c r="F63" s="95"/>
      <c r="G63" s="99">
        <v>10330.57</v>
      </c>
      <c r="H63" s="95"/>
      <c r="I63" s="95">
        <f t="shared" si="0"/>
        <v>2169.4196999999999</v>
      </c>
      <c r="J63" s="95"/>
      <c r="K63" s="100"/>
      <c r="L63" s="100"/>
      <c r="M63" s="101"/>
      <c r="N63" s="104"/>
      <c r="O63" s="99">
        <f t="shared" si="2"/>
        <v>12499.9897</v>
      </c>
      <c r="P63" s="72" t="s">
        <v>66</v>
      </c>
    </row>
    <row r="64" spans="1:16" s="73" customFormat="1" ht="17.399999999999999" customHeight="1" x14ac:dyDescent="0.3">
      <c r="A64" s="95" t="s">
        <v>107</v>
      </c>
      <c r="B64" s="95" t="s">
        <v>57</v>
      </c>
      <c r="C64" s="96">
        <v>1</v>
      </c>
      <c r="D64" s="97">
        <v>3749</v>
      </c>
      <c r="E64" s="95" t="s">
        <v>64</v>
      </c>
      <c r="F64" s="95"/>
      <c r="G64" s="99">
        <v>12314.05</v>
      </c>
      <c r="H64" s="95"/>
      <c r="I64" s="95">
        <f t="shared" si="0"/>
        <v>2585.9504999999999</v>
      </c>
      <c r="J64" s="95"/>
      <c r="K64" s="100"/>
      <c r="L64" s="100"/>
      <c r="M64" s="101"/>
      <c r="N64" s="104"/>
      <c r="O64" s="99">
        <f t="shared" si="2"/>
        <v>14900.000499999998</v>
      </c>
      <c r="P64" s="72" t="s">
        <v>65</v>
      </c>
    </row>
    <row r="65" spans="1:16" s="73" customFormat="1" ht="17.399999999999999" customHeight="1" x14ac:dyDescent="0.3">
      <c r="A65" s="95" t="s">
        <v>107</v>
      </c>
      <c r="B65" s="95" t="s">
        <v>57</v>
      </c>
      <c r="C65" s="96">
        <v>1</v>
      </c>
      <c r="D65" s="97">
        <v>3750</v>
      </c>
      <c r="E65" s="95" t="s">
        <v>64</v>
      </c>
      <c r="F65" s="95"/>
      <c r="G65" s="99">
        <v>13966.95</v>
      </c>
      <c r="H65" s="95"/>
      <c r="I65" s="95">
        <f t="shared" si="0"/>
        <v>2933.0594999999998</v>
      </c>
      <c r="J65" s="95"/>
      <c r="K65" s="100"/>
      <c r="L65" s="100"/>
      <c r="M65" s="101"/>
      <c r="N65" s="104"/>
      <c r="O65" s="99">
        <f t="shared" si="2"/>
        <v>16900.0095</v>
      </c>
      <c r="P65" s="72" t="s">
        <v>65</v>
      </c>
    </row>
    <row r="66" spans="1:16" s="73" customFormat="1" ht="17.399999999999999" customHeight="1" x14ac:dyDescent="0.3">
      <c r="A66" s="95" t="s">
        <v>107</v>
      </c>
      <c r="B66" s="95" t="s">
        <v>57</v>
      </c>
      <c r="C66" s="96">
        <v>1</v>
      </c>
      <c r="D66" s="97">
        <v>3751</v>
      </c>
      <c r="E66" s="95" t="s">
        <v>64</v>
      </c>
      <c r="F66" s="95"/>
      <c r="G66" s="99">
        <v>9752.0499999999993</v>
      </c>
      <c r="H66" s="95"/>
      <c r="I66" s="95">
        <f t="shared" si="0"/>
        <v>2047.9304999999997</v>
      </c>
      <c r="J66" s="95"/>
      <c r="K66" s="100"/>
      <c r="L66" s="100"/>
      <c r="M66" s="101"/>
      <c r="N66" s="104"/>
      <c r="O66" s="99">
        <f t="shared" si="2"/>
        <v>11799.9805</v>
      </c>
      <c r="P66" s="72" t="s">
        <v>66</v>
      </c>
    </row>
    <row r="67" spans="1:16" s="73" customFormat="1" ht="17.399999999999999" customHeight="1" x14ac:dyDescent="0.3">
      <c r="A67" s="95" t="s">
        <v>108</v>
      </c>
      <c r="B67" s="95" t="s">
        <v>57</v>
      </c>
      <c r="C67" s="96">
        <v>1</v>
      </c>
      <c r="D67" s="97">
        <v>3752</v>
      </c>
      <c r="E67" s="95" t="s">
        <v>64</v>
      </c>
      <c r="F67" s="95"/>
      <c r="G67" s="99">
        <v>18181.810000000001</v>
      </c>
      <c r="H67" s="95"/>
      <c r="I67" s="95">
        <f t="shared" si="0"/>
        <v>3818.1801</v>
      </c>
      <c r="J67" s="95"/>
      <c r="K67" s="100"/>
      <c r="L67" s="100"/>
      <c r="M67" s="101"/>
      <c r="N67" s="104"/>
      <c r="O67" s="99">
        <f t="shared" si="2"/>
        <v>21999.990100000003</v>
      </c>
      <c r="P67" s="72" t="s">
        <v>65</v>
      </c>
    </row>
    <row r="68" spans="1:16" s="73" customFormat="1" ht="17.399999999999999" customHeight="1" x14ac:dyDescent="0.3">
      <c r="A68" s="95" t="s">
        <v>108</v>
      </c>
      <c r="B68" s="95" t="s">
        <v>57</v>
      </c>
      <c r="C68" s="96">
        <v>1</v>
      </c>
      <c r="D68" s="97">
        <v>3753</v>
      </c>
      <c r="E68" s="95" t="s">
        <v>64</v>
      </c>
      <c r="F68" s="95"/>
      <c r="G68" s="99">
        <v>18595.05</v>
      </c>
      <c r="H68" s="95"/>
      <c r="I68" s="95">
        <f t="shared" si="0"/>
        <v>3904.9604999999997</v>
      </c>
      <c r="J68" s="95"/>
      <c r="K68" s="100"/>
      <c r="L68" s="100"/>
      <c r="M68" s="101"/>
      <c r="N68" s="104"/>
      <c r="O68" s="99">
        <f t="shared" si="2"/>
        <v>22500.0105</v>
      </c>
      <c r="P68" s="72" t="s">
        <v>65</v>
      </c>
    </row>
    <row r="69" spans="1:16" s="73" customFormat="1" ht="17.399999999999999" customHeight="1" x14ac:dyDescent="0.3">
      <c r="A69" s="95" t="s">
        <v>109</v>
      </c>
      <c r="B69" s="95" t="s">
        <v>57</v>
      </c>
      <c r="C69" s="96">
        <v>1</v>
      </c>
      <c r="D69" s="97">
        <v>3754</v>
      </c>
      <c r="E69" s="95" t="s">
        <v>64</v>
      </c>
      <c r="F69" s="95"/>
      <c r="G69" s="99">
        <v>10330.57</v>
      </c>
      <c r="H69" s="95"/>
      <c r="I69" s="95">
        <f t="shared" si="0"/>
        <v>2169.4196999999999</v>
      </c>
      <c r="J69" s="95"/>
      <c r="K69" s="100"/>
      <c r="L69" s="100"/>
      <c r="M69" s="101"/>
      <c r="N69" s="104"/>
      <c r="O69" s="99">
        <f t="shared" si="2"/>
        <v>12499.9897</v>
      </c>
      <c r="P69" s="72" t="s">
        <v>65</v>
      </c>
    </row>
    <row r="70" spans="1:16" s="73" customFormat="1" ht="17.399999999999999" customHeight="1" x14ac:dyDescent="0.3">
      <c r="A70" s="95" t="s">
        <v>109</v>
      </c>
      <c r="B70" s="95" t="s">
        <v>57</v>
      </c>
      <c r="C70" s="96">
        <v>1</v>
      </c>
      <c r="D70" s="97">
        <v>3755</v>
      </c>
      <c r="E70" s="95" t="s">
        <v>64</v>
      </c>
      <c r="F70" s="95"/>
      <c r="G70" s="99">
        <v>8099.19</v>
      </c>
      <c r="H70" s="95"/>
      <c r="I70" s="95">
        <f t="shared" si="0"/>
        <v>1700.8299</v>
      </c>
      <c r="J70" s="95"/>
      <c r="K70" s="100"/>
      <c r="L70" s="100"/>
      <c r="M70" s="101"/>
      <c r="N70" s="104"/>
      <c r="O70" s="99">
        <f t="shared" si="2"/>
        <v>9800.0198999999993</v>
      </c>
      <c r="P70" s="72" t="s">
        <v>65</v>
      </c>
    </row>
    <row r="71" spans="1:16" s="73" customFormat="1" ht="17.399999999999999" customHeight="1" x14ac:dyDescent="0.3">
      <c r="A71" s="95" t="s">
        <v>109</v>
      </c>
      <c r="B71" s="95" t="s">
        <v>57</v>
      </c>
      <c r="C71" s="96">
        <v>1</v>
      </c>
      <c r="D71" s="97">
        <v>3756</v>
      </c>
      <c r="E71" s="95" t="s">
        <v>64</v>
      </c>
      <c r="F71" s="95"/>
      <c r="G71" s="99">
        <v>15619.86</v>
      </c>
      <c r="H71" s="95"/>
      <c r="I71" s="95">
        <f t="shared" ref="I71:I72" si="3">G71*(21/100)</f>
        <v>3280.1705999999999</v>
      </c>
      <c r="J71" s="95"/>
      <c r="K71" s="100"/>
      <c r="L71" s="100"/>
      <c r="M71" s="101"/>
      <c r="N71" s="104"/>
      <c r="O71" s="99">
        <f t="shared" si="2"/>
        <v>18900.030600000002</v>
      </c>
      <c r="P71" s="72" t="s">
        <v>65</v>
      </c>
    </row>
    <row r="72" spans="1:16" s="74" customFormat="1" ht="17.399999999999999" customHeight="1" x14ac:dyDescent="0.3">
      <c r="A72" s="95" t="s">
        <v>109</v>
      </c>
      <c r="B72" s="95" t="s">
        <v>57</v>
      </c>
      <c r="C72" s="96">
        <v>1</v>
      </c>
      <c r="D72" s="97">
        <v>3757</v>
      </c>
      <c r="E72" s="95" t="s">
        <v>110</v>
      </c>
      <c r="F72" s="98">
        <v>30678715332</v>
      </c>
      <c r="G72" s="95">
        <v>90909.1</v>
      </c>
      <c r="H72" s="95"/>
      <c r="I72" s="95">
        <f t="shared" si="3"/>
        <v>19090.911</v>
      </c>
      <c r="J72" s="95"/>
      <c r="K72" s="102"/>
      <c r="L72" s="102"/>
      <c r="M72" s="103"/>
      <c r="N72" s="105"/>
      <c r="O72" s="99">
        <f t="shared" si="2"/>
        <v>110000.011</v>
      </c>
      <c r="P72" s="72" t="s">
        <v>67</v>
      </c>
    </row>
  </sheetData>
  <autoFilter ref="A6:P72"/>
  <pageMargins left="0.70833333333333304" right="0.70833333333333304" top="0.74791666666666701" bottom="0.74791666666666701" header="0.51180555555555496" footer="0.51180555555555496"/>
  <pageSetup paperSize="9" scale="85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zoomScaleNormal="100" workbookViewId="0"/>
  </sheetViews>
  <sheetFormatPr baseColWidth="10" defaultColWidth="10.5546875" defaultRowHeight="14.4" x14ac:dyDescent="0.3"/>
  <cols>
    <col min="3" max="3" width="26.6640625" customWidth="1"/>
    <col min="4" max="4" width="14.109375" customWidth="1"/>
    <col min="6" max="6" width="15.44140625" customWidth="1"/>
    <col min="8" max="8" width="14.5546875" customWidth="1"/>
    <col min="9" max="9" width="13.109375" customWidth="1"/>
    <col min="10" max="10" width="16.88671875" customWidth="1"/>
    <col min="11" max="11" width="8.33203125" customWidth="1"/>
    <col min="12" max="12" width="32.44140625" customWidth="1"/>
  </cols>
  <sheetData>
    <row r="1" spans="1:12" ht="15.6" x14ac:dyDescent="0.3">
      <c r="A1" s="15" t="str">
        <f>+VENTAS!A4</f>
        <v>MES</v>
      </c>
    </row>
    <row r="2" spans="1:12" x14ac:dyDescent="0.3">
      <c r="A2" s="16" t="s">
        <v>14</v>
      </c>
      <c r="B2" s="16" t="s">
        <v>15</v>
      </c>
      <c r="C2" s="16" t="s">
        <v>16</v>
      </c>
      <c r="D2" s="16" t="s">
        <v>17</v>
      </c>
      <c r="E2" s="16" t="s">
        <v>18</v>
      </c>
      <c r="F2" s="16" t="s">
        <v>19</v>
      </c>
      <c r="G2" s="16" t="s">
        <v>20</v>
      </c>
      <c r="H2" s="16" t="s">
        <v>21</v>
      </c>
      <c r="I2" s="16" t="s">
        <v>22</v>
      </c>
      <c r="J2" s="16" t="s">
        <v>23</v>
      </c>
      <c r="K2" s="16" t="s">
        <v>24</v>
      </c>
      <c r="L2" s="16" t="s">
        <v>25</v>
      </c>
    </row>
    <row r="3" spans="1:12" s="20" customFormat="1" ht="11.4" x14ac:dyDescent="0.2">
      <c r="A3" s="17"/>
      <c r="B3" s="18"/>
      <c r="C3" s="18"/>
      <c r="D3" s="11"/>
      <c r="E3" s="19"/>
      <c r="F3" s="19"/>
      <c r="G3" s="19"/>
      <c r="H3" s="19"/>
      <c r="I3" s="18"/>
      <c r="J3" s="18"/>
      <c r="K3" s="18"/>
      <c r="L3" s="18"/>
    </row>
    <row r="4" spans="1:12" s="20" customFormat="1" ht="11.4" x14ac:dyDescent="0.2">
      <c r="A4" s="17"/>
      <c r="B4" s="18"/>
      <c r="C4" s="18"/>
      <c r="D4" s="11"/>
      <c r="E4" s="12"/>
      <c r="F4" s="19"/>
      <c r="G4" s="18"/>
      <c r="H4" s="19"/>
      <c r="I4" s="18"/>
      <c r="J4" s="18"/>
      <c r="K4" s="18"/>
      <c r="L4" s="18"/>
    </row>
    <row r="5" spans="1:12" s="20" customFormat="1" ht="11.4" x14ac:dyDescent="0.2">
      <c r="A5" s="17"/>
      <c r="B5" s="18"/>
      <c r="C5" s="7"/>
      <c r="D5" s="11"/>
      <c r="E5" s="8"/>
      <c r="F5" s="19"/>
      <c r="G5" s="18"/>
      <c r="H5" s="19"/>
      <c r="I5" s="18"/>
      <c r="J5" s="18"/>
      <c r="K5" s="18"/>
      <c r="L5" s="21"/>
    </row>
    <row r="6" spans="1:12" x14ac:dyDescent="0.3">
      <c r="A6" s="6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spans="1:12" x14ac:dyDescent="0.3">
      <c r="A7" s="6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12" x14ac:dyDescent="0.3">
      <c r="A8" s="6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2" x14ac:dyDescent="0.3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</row>
    <row r="10" spans="1:12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</row>
    <row r="11" spans="1:12" x14ac:dyDescent="0.3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="70" zoomScaleNormal="70" workbookViewId="0">
      <pane ySplit="5" topLeftCell="A6" activePane="bottomLeft" state="frozen"/>
      <selection pane="bottomLeft" activeCell="E25" sqref="E25"/>
    </sheetView>
  </sheetViews>
  <sheetFormatPr baseColWidth="10" defaultColWidth="10.5546875" defaultRowHeight="14.4" x14ac:dyDescent="0.3"/>
  <cols>
    <col min="1" max="1" width="12.109375" customWidth="1"/>
    <col min="3" max="3" width="43.33203125" customWidth="1"/>
    <col min="4" max="4" width="16.88671875" customWidth="1"/>
    <col min="5" max="5" width="15.88671875" customWidth="1"/>
    <col min="6" max="6" width="11.5546875" customWidth="1"/>
    <col min="7" max="7" width="15.6640625" customWidth="1"/>
    <col min="11" max="11" width="16.6640625" customWidth="1"/>
    <col min="12" max="12" width="17.109375" customWidth="1"/>
    <col min="13" max="13" width="16.6640625" customWidth="1"/>
    <col min="14" max="14" width="46.6640625" customWidth="1"/>
  </cols>
  <sheetData>
    <row r="1" spans="1:14" ht="36.75" customHeight="1" x14ac:dyDescent="0.4">
      <c r="A1" s="23" t="s">
        <v>26</v>
      </c>
    </row>
    <row r="2" spans="1:14" ht="25.2" customHeight="1" x14ac:dyDescent="0.4">
      <c r="A2" s="23" t="str">
        <f>+VENTAS!A4</f>
        <v>MES</v>
      </c>
    </row>
    <row r="3" spans="1:14" ht="26.4" customHeight="1" x14ac:dyDescent="0.3">
      <c r="A3" s="24"/>
    </row>
    <row r="4" spans="1:14" ht="15" customHeight="1" x14ac:dyDescent="0.3">
      <c r="A4" s="107" t="s">
        <v>27</v>
      </c>
      <c r="B4" s="107" t="s">
        <v>15</v>
      </c>
      <c r="C4" s="107" t="s">
        <v>16</v>
      </c>
      <c r="D4" s="107" t="s">
        <v>17</v>
      </c>
      <c r="E4" s="107" t="s">
        <v>18</v>
      </c>
      <c r="F4" s="106" t="s">
        <v>28</v>
      </c>
      <c r="G4" s="106"/>
      <c r="H4" s="106"/>
      <c r="I4" s="106"/>
      <c r="J4" s="106"/>
      <c r="K4" s="107" t="s">
        <v>29</v>
      </c>
      <c r="L4" s="108"/>
      <c r="M4" s="108" t="s">
        <v>30</v>
      </c>
      <c r="N4" s="109" t="s">
        <v>31</v>
      </c>
    </row>
    <row r="5" spans="1:14" x14ac:dyDescent="0.3">
      <c r="A5" s="107"/>
      <c r="B5" s="107"/>
      <c r="C5" s="107"/>
      <c r="D5" s="107"/>
      <c r="E5" s="107"/>
      <c r="F5" s="25" t="s">
        <v>32</v>
      </c>
      <c r="G5" s="25" t="s">
        <v>33</v>
      </c>
      <c r="H5" s="25" t="s">
        <v>34</v>
      </c>
      <c r="I5" s="25" t="s">
        <v>35</v>
      </c>
      <c r="J5" s="25" t="s">
        <v>36</v>
      </c>
      <c r="K5" s="107"/>
      <c r="L5" s="108"/>
      <c r="M5" s="108"/>
      <c r="N5" s="109"/>
    </row>
    <row r="6" spans="1:14" x14ac:dyDescent="0.3">
      <c r="A6" s="9"/>
      <c r="B6" s="26"/>
      <c r="C6" s="27"/>
      <c r="D6" s="9"/>
      <c r="E6" s="28"/>
      <c r="F6" s="28"/>
      <c r="G6" s="28"/>
      <c r="H6" s="28"/>
      <c r="I6" s="28"/>
      <c r="J6" s="28"/>
      <c r="K6" s="28"/>
      <c r="L6" s="28"/>
      <c r="M6" s="9"/>
      <c r="N6" s="9"/>
    </row>
    <row r="7" spans="1:14" x14ac:dyDescent="0.3">
      <c r="A7" s="9"/>
      <c r="B7" s="26"/>
      <c r="C7" s="9"/>
      <c r="E7" s="28"/>
      <c r="F7" s="28"/>
      <c r="G7" s="28"/>
      <c r="H7" s="28"/>
      <c r="I7" s="28"/>
      <c r="J7" s="28"/>
      <c r="K7" s="28"/>
      <c r="L7" s="28"/>
      <c r="M7" s="9"/>
      <c r="N7" s="29"/>
    </row>
    <row r="8" spans="1:14" x14ac:dyDescent="0.3">
      <c r="A8" s="9"/>
      <c r="B8" s="26"/>
      <c r="C8" s="9"/>
      <c r="D8" s="9"/>
      <c r="E8" s="28"/>
      <c r="F8" s="28"/>
      <c r="G8" s="28"/>
      <c r="H8" s="28"/>
      <c r="I8" s="28"/>
      <c r="J8" s="28"/>
      <c r="K8" s="28"/>
      <c r="L8" s="28"/>
      <c r="M8" s="9"/>
      <c r="N8" s="9"/>
    </row>
    <row r="9" spans="1:14" x14ac:dyDescent="0.3">
      <c r="A9" s="9"/>
      <c r="B9" s="26"/>
      <c r="C9" s="9"/>
      <c r="E9" s="28"/>
      <c r="F9" s="28"/>
      <c r="G9" s="28"/>
      <c r="H9" s="28"/>
      <c r="I9" s="28"/>
      <c r="J9" s="28"/>
      <c r="K9" s="28"/>
      <c r="L9" s="28"/>
      <c r="M9" s="9"/>
      <c r="N9" s="9"/>
    </row>
    <row r="10" spans="1:14" x14ac:dyDescent="0.3">
      <c r="A10" s="9"/>
      <c r="B10" s="26"/>
      <c r="C10" s="9"/>
      <c r="D10" s="9"/>
      <c r="E10" s="28"/>
      <c r="F10" s="28"/>
      <c r="G10" s="28"/>
      <c r="H10" s="28"/>
      <c r="I10" s="28"/>
      <c r="J10" s="28"/>
      <c r="K10" s="28"/>
      <c r="L10" s="28"/>
      <c r="M10" s="9"/>
      <c r="N10" s="29"/>
    </row>
    <row r="11" spans="1:14" x14ac:dyDescent="0.3">
      <c r="A11" s="9"/>
      <c r="B11" s="26"/>
      <c r="C11" s="9"/>
      <c r="D11" s="9"/>
      <c r="E11" s="28"/>
      <c r="F11" s="28"/>
      <c r="G11" s="28"/>
      <c r="H11" s="28"/>
      <c r="I11" s="28"/>
      <c r="J11" s="28"/>
      <c r="K11" s="28"/>
      <c r="L11" s="28"/>
      <c r="M11" s="9"/>
      <c r="N11" s="29"/>
    </row>
    <row r="12" spans="1:14" x14ac:dyDescent="0.3">
      <c r="A12" s="9"/>
      <c r="B12" s="26"/>
      <c r="C12" s="9"/>
      <c r="D12" s="9"/>
      <c r="E12" s="28"/>
      <c r="F12" s="28"/>
      <c r="G12" s="28"/>
      <c r="H12" s="28"/>
      <c r="I12" s="28"/>
      <c r="J12" s="28"/>
      <c r="K12" s="28"/>
      <c r="L12" s="28"/>
      <c r="M12" s="9"/>
      <c r="N12" s="29"/>
    </row>
    <row r="13" spans="1:14" x14ac:dyDescent="0.3">
      <c r="A13" s="9"/>
      <c r="B13" s="26"/>
      <c r="C13" s="9"/>
      <c r="D13" s="9"/>
      <c r="E13" s="28"/>
      <c r="F13" s="28"/>
      <c r="G13" s="28"/>
      <c r="H13" s="28"/>
      <c r="I13" s="28"/>
      <c r="J13" s="28"/>
      <c r="K13" s="28"/>
      <c r="L13" s="28"/>
      <c r="M13" s="9"/>
      <c r="N13" s="29"/>
    </row>
    <row r="14" spans="1:14" x14ac:dyDescent="0.3">
      <c r="A14" s="9"/>
      <c r="B14" s="26"/>
      <c r="C14" s="9"/>
      <c r="D14" s="9"/>
      <c r="E14" s="28"/>
      <c r="F14" s="28"/>
      <c r="G14" s="28"/>
      <c r="H14" s="28"/>
      <c r="I14" s="28"/>
      <c r="J14" s="28"/>
      <c r="K14" s="28"/>
      <c r="L14" s="28"/>
      <c r="M14" s="9"/>
      <c r="N14" s="9"/>
    </row>
    <row r="15" spans="1:14" x14ac:dyDescent="0.3">
      <c r="A15" s="9"/>
      <c r="B15" s="9"/>
      <c r="C15" s="9"/>
      <c r="D15" s="9"/>
      <c r="E15" s="28"/>
      <c r="F15" s="28"/>
      <c r="G15" s="28"/>
      <c r="H15" s="28"/>
      <c r="I15" s="28"/>
      <c r="J15" s="28"/>
      <c r="K15" s="28"/>
      <c r="L15" s="28"/>
      <c r="M15" s="9"/>
      <c r="N15" s="9"/>
    </row>
    <row r="16" spans="1:14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28" t="s">
        <v>37</v>
      </c>
      <c r="M16" s="9"/>
      <c r="N16" s="9"/>
    </row>
    <row r="17" spans="1:14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28" t="s">
        <v>37</v>
      </c>
      <c r="M17" s="9"/>
      <c r="N17" s="9"/>
    </row>
    <row r="18" spans="1:14" x14ac:dyDescent="0.3">
      <c r="C18" t="s">
        <v>38</v>
      </c>
      <c r="E18" s="30">
        <f t="shared" ref="E18:J18" si="0">SUM(E7:E17)</f>
        <v>0</v>
      </c>
      <c r="F18" s="30">
        <f t="shared" si="0"/>
        <v>0</v>
      </c>
      <c r="G18" s="30">
        <f t="shared" si="0"/>
        <v>0</v>
      </c>
      <c r="H18" s="30">
        <f t="shared" si="0"/>
        <v>0</v>
      </c>
      <c r="I18" s="30">
        <f t="shared" si="0"/>
        <v>0</v>
      </c>
      <c r="J18" s="30">
        <f t="shared" si="0"/>
        <v>0</v>
      </c>
      <c r="K18" s="30" t="s">
        <v>37</v>
      </c>
    </row>
  </sheetData>
  <mergeCells count="10">
    <mergeCell ref="A4:A5"/>
    <mergeCell ref="B4:B5"/>
    <mergeCell ref="C4:C5"/>
    <mergeCell ref="D4:D5"/>
    <mergeCell ref="E4:E5"/>
    <mergeCell ref="F4:J4"/>
    <mergeCell ref="K4:K5"/>
    <mergeCell ref="L4:L5"/>
    <mergeCell ref="M4:M5"/>
    <mergeCell ref="N4:N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zoomScaleNormal="100" workbookViewId="0">
      <selection activeCell="E10" sqref="E10:E11"/>
    </sheetView>
  </sheetViews>
  <sheetFormatPr baseColWidth="10" defaultColWidth="10.5546875" defaultRowHeight="14.4" x14ac:dyDescent="0.3"/>
  <cols>
    <col min="1" max="21" width="17.109375" customWidth="1"/>
  </cols>
  <sheetData>
    <row r="1" spans="1:21" x14ac:dyDescent="0.3">
      <c r="A1" s="110" t="str">
        <f>+VENTAS!A4</f>
        <v>MES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</row>
    <row r="2" spans="1:21" x14ac:dyDescent="0.3">
      <c r="A2" s="39" t="s">
        <v>2</v>
      </c>
      <c r="B2" s="39" t="s">
        <v>3</v>
      </c>
      <c r="C2" s="39" t="s">
        <v>4</v>
      </c>
      <c r="D2" s="39" t="s">
        <v>42</v>
      </c>
      <c r="E2" s="39" t="s">
        <v>43</v>
      </c>
      <c r="F2" s="40" t="s">
        <v>44</v>
      </c>
      <c r="G2" s="41" t="s">
        <v>45</v>
      </c>
      <c r="H2" s="42" t="s">
        <v>46</v>
      </c>
      <c r="I2" s="42" t="s">
        <v>47</v>
      </c>
      <c r="J2" s="43" t="s">
        <v>48</v>
      </c>
      <c r="K2" s="43" t="s">
        <v>49</v>
      </c>
      <c r="L2" s="42" t="s">
        <v>50</v>
      </c>
      <c r="M2" s="44" t="s">
        <v>51</v>
      </c>
      <c r="N2" s="44" t="s">
        <v>52</v>
      </c>
      <c r="O2" s="44" t="s">
        <v>53</v>
      </c>
      <c r="P2" s="41" t="s">
        <v>54</v>
      </c>
      <c r="Q2" s="41" t="s">
        <v>55</v>
      </c>
      <c r="R2" s="41" t="s">
        <v>11</v>
      </c>
      <c r="S2" s="44" t="s">
        <v>13</v>
      </c>
      <c r="T2" s="44"/>
      <c r="U2" s="45"/>
    </row>
    <row r="3" spans="1:21" s="31" customFormat="1" x14ac:dyDescent="0.3">
      <c r="A3" s="46"/>
      <c r="B3" s="4"/>
      <c r="C3" s="5"/>
      <c r="D3" s="6"/>
      <c r="E3" s="4"/>
      <c r="F3" s="38"/>
      <c r="G3" s="4"/>
      <c r="H3" s="4"/>
      <c r="I3" s="4"/>
      <c r="J3" s="33"/>
      <c r="K3" s="32"/>
      <c r="L3" s="32"/>
      <c r="M3" s="34"/>
      <c r="N3" s="34"/>
      <c r="O3" s="34"/>
      <c r="P3" s="34"/>
      <c r="Q3" s="35"/>
      <c r="R3" s="36"/>
      <c r="S3" s="37"/>
    </row>
    <row r="4" spans="1:2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</sheetData>
  <mergeCells count="1">
    <mergeCell ref="A1:U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COMPRAS</vt:lpstr>
      <vt:lpstr>VENTAS</vt:lpstr>
      <vt:lpstr>A COBRAR</vt:lpstr>
      <vt:lpstr>RECIBOS CLI</vt:lpstr>
      <vt:lpstr>A PAGAR</vt:lpstr>
      <vt:lpstr>VENTAS!Área_de_impresión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Nextron</dc:creator>
  <dc:description/>
  <cp:lastModifiedBy>Josefina Urquiza</cp:lastModifiedBy>
  <cp:revision>1</cp:revision>
  <cp:lastPrinted>2017-06-01T19:44:56Z</cp:lastPrinted>
  <dcterms:created xsi:type="dcterms:W3CDTF">2016-09-20T18:22:38Z</dcterms:created>
  <dcterms:modified xsi:type="dcterms:W3CDTF">2026-07-23T12:17:44Z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