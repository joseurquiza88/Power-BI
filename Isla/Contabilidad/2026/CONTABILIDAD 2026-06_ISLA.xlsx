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sefina\isla\Contabilidad\"/>
    </mc:Choice>
  </mc:AlternateContent>
  <bookViews>
    <workbookView xWindow="0" yWindow="0" windowWidth="16392" windowHeight="5160" tabRatio="481" activeTab="1"/>
  </bookViews>
  <sheets>
    <sheet name="COMPRAS" sheetId="6" r:id="rId1"/>
    <sheet name="VENTAS" sheetId="1" r:id="rId2"/>
    <sheet name="A COBRAR" sheetId="2" r:id="rId3"/>
    <sheet name="RECIBOS CLI" sheetId="3" r:id="rId4"/>
    <sheet name="A PAGAR" sheetId="5" r:id="rId5"/>
  </sheets>
  <definedNames>
    <definedName name="_xlnm._FilterDatabase" localSheetId="0" hidden="1">COMPRAS!$A$7:$Y$61</definedName>
    <definedName name="_xlnm._FilterDatabase" localSheetId="1" hidden="1">VENTAS!$A$7:$L$88</definedName>
    <definedName name="_xlnm.Print_Area" localSheetId="1">VENTAS!$A$1:$K$108</definedName>
  </definedNames>
  <calcPr calcId="162913"/>
</workbook>
</file>

<file path=xl/calcChain.xml><?xml version="1.0" encoding="utf-8"?>
<calcChain xmlns="http://schemas.openxmlformats.org/spreadsheetml/2006/main">
  <c r="L20" i="6" l="1"/>
  <c r="R20" i="6" s="1"/>
  <c r="L15" i="6"/>
  <c r="R15" i="6" s="1"/>
  <c r="L14" i="6"/>
  <c r="R14" i="6" s="1"/>
  <c r="L16" i="6"/>
  <c r="L17" i="6"/>
  <c r="L18" i="6"/>
  <c r="L13" i="6"/>
  <c r="R13" i="6" s="1"/>
  <c r="R12" i="6"/>
  <c r="L11" i="6"/>
  <c r="R11" i="6" s="1"/>
  <c r="L12" i="6"/>
  <c r="L19" i="6"/>
  <c r="L21" i="6"/>
  <c r="L22" i="6"/>
  <c r="L23" i="6"/>
  <c r="L10" i="6"/>
  <c r="R10" i="6" s="1"/>
  <c r="R19" i="6" l="1"/>
  <c r="R18" i="6"/>
  <c r="R17" i="6"/>
  <c r="L9" i="6"/>
  <c r="R9" i="6" s="1"/>
  <c r="L8" i="6"/>
  <c r="R8" i="6" s="1"/>
  <c r="K86" i="1" l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I87" i="1"/>
  <c r="I88" i="1"/>
  <c r="L28" i="6" l="1"/>
  <c r="R28" i="6" s="1"/>
  <c r="L30" i="6"/>
  <c r="R30" i="6" s="1"/>
  <c r="R23" i="6" l="1"/>
  <c r="L41" i="6"/>
  <c r="R41" i="6" s="1"/>
  <c r="L42" i="6"/>
  <c r="R42" i="6" s="1"/>
  <c r="L40" i="6"/>
  <c r="R40" i="6" s="1"/>
  <c r="L39" i="6"/>
  <c r="R39" i="6" s="1"/>
  <c r="L38" i="6"/>
  <c r="R38" i="6" s="1"/>
  <c r="L25" i="6"/>
  <c r="R25" i="6" s="1"/>
  <c r="L37" i="6"/>
  <c r="R37" i="6" s="1"/>
  <c r="L36" i="6"/>
  <c r="R36" i="6" s="1"/>
  <c r="L35" i="6"/>
  <c r="R35" i="6" s="1"/>
  <c r="L26" i="6"/>
  <c r="R26" i="6" s="1"/>
  <c r="L24" i="6"/>
  <c r="R24" i="6" s="1"/>
  <c r="L27" i="6"/>
  <c r="R27" i="6" s="1"/>
  <c r="L29" i="6"/>
  <c r="R29" i="6" s="1"/>
  <c r="L34" i="6"/>
  <c r="R34" i="6" s="1"/>
  <c r="L33" i="6"/>
  <c r="R33" i="6" s="1"/>
  <c r="L32" i="6"/>
  <c r="R32" i="6" s="1"/>
  <c r="R21" i="6"/>
  <c r="L45" i="6" l="1"/>
  <c r="R45" i="6" s="1"/>
  <c r="L46" i="6"/>
  <c r="R46" i="6" s="1"/>
  <c r="L47" i="6"/>
  <c r="R47" i="6" s="1"/>
  <c r="L43" i="6" l="1"/>
  <c r="R43" i="6" s="1"/>
  <c r="L44" i="6"/>
  <c r="R44" i="6" s="1"/>
  <c r="L48" i="6"/>
  <c r="R48" i="6" s="1"/>
  <c r="L49" i="6"/>
  <c r="R49" i="6" s="1"/>
  <c r="L50" i="6"/>
  <c r="R50" i="6" s="1"/>
  <c r="R51" i="6" l="1"/>
  <c r="I79" i="1" l="1"/>
  <c r="K79" i="1" s="1"/>
  <c r="K87" i="1"/>
  <c r="K88" i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8" i="1" l="1"/>
  <c r="K8" i="1" s="1"/>
  <c r="L31" i="6"/>
  <c r="R31" i="6" s="1"/>
  <c r="H91" i="1" l="1"/>
  <c r="J91" i="1"/>
  <c r="L91" i="1"/>
  <c r="I91" i="1" l="1"/>
  <c r="G91" i="1" l="1"/>
  <c r="K91" i="1" l="1"/>
  <c r="J52" i="6"/>
  <c r="R56" i="6" l="1"/>
  <c r="R57" i="6"/>
  <c r="R58" i="6"/>
  <c r="K52" i="6" l="1"/>
  <c r="M52" i="6"/>
  <c r="N52" i="6"/>
  <c r="O52" i="6"/>
  <c r="J68" i="6" l="1"/>
  <c r="L64" i="6" l="1"/>
  <c r="R64" i="6" s="1"/>
  <c r="R68" i="6" s="1"/>
  <c r="K68" i="6"/>
  <c r="M68" i="6"/>
  <c r="N68" i="6"/>
  <c r="O68" i="6"/>
  <c r="P68" i="6"/>
  <c r="Q68" i="6"/>
  <c r="L52" i="6" l="1"/>
  <c r="L68" i="6"/>
  <c r="A1" i="5"/>
  <c r="J18" i="3"/>
  <c r="I18" i="3"/>
  <c r="H18" i="3"/>
  <c r="G18" i="3"/>
  <c r="F18" i="3"/>
  <c r="E18" i="3"/>
  <c r="A2" i="3"/>
  <c r="A1" i="2"/>
  <c r="K97" i="1"/>
  <c r="J97" i="1"/>
  <c r="H97" i="1"/>
  <c r="H100" i="1" s="1"/>
  <c r="G96" i="1"/>
  <c r="G97" i="1" s="1"/>
  <c r="G100" i="1" s="1"/>
  <c r="K100" i="1" l="1"/>
  <c r="I96" i="1"/>
  <c r="I97" i="1" s="1"/>
  <c r="J100" i="1"/>
  <c r="I100" i="1" l="1"/>
  <c r="H103" i="1" s="1"/>
  <c r="R59" i="6" l="1"/>
  <c r="Q52" i="6"/>
  <c r="R52" i="6" l="1"/>
  <c r="P52" i="6"/>
</calcChain>
</file>

<file path=xl/sharedStrings.xml><?xml version="1.0" encoding="utf-8"?>
<sst xmlns="http://schemas.openxmlformats.org/spreadsheetml/2006/main" count="547" uniqueCount="125">
  <si>
    <t>LIBRO IVA VENTAS</t>
  </si>
  <si>
    <t xml:space="preserve">Razon Social: </t>
  </si>
  <si>
    <t>ISLA ECOLOGICA S.A.</t>
  </si>
  <si>
    <t>CUIT: 30-71543101-3</t>
  </si>
  <si>
    <t>Fecha</t>
  </si>
  <si>
    <t>Tipo Compr.</t>
  </si>
  <si>
    <t>Punto de venta</t>
  </si>
  <si>
    <t>Nro. Compr.</t>
  </si>
  <si>
    <t>Razón Social</t>
  </si>
  <si>
    <t>Cuit/DNI</t>
  </si>
  <si>
    <t>Neto Gravado 1*</t>
  </si>
  <si>
    <t>IVA % 10,5</t>
  </si>
  <si>
    <t>IVA % 21</t>
  </si>
  <si>
    <t>No Gravado</t>
  </si>
  <si>
    <t>Total</t>
  </si>
  <si>
    <t>Forma de Cobro</t>
  </si>
  <si>
    <t>Observaciones</t>
  </si>
  <si>
    <t>SUBTOTAL FC</t>
  </si>
  <si>
    <t>SUBTOTAL</t>
  </si>
  <si>
    <t>NOTAS DE CREDITO</t>
  </si>
  <si>
    <t>SUBTOTAL NOTAS DE CREDITO</t>
  </si>
  <si>
    <t>Totales</t>
  </si>
  <si>
    <t xml:space="preserve">Total IVA: </t>
  </si>
  <si>
    <t>*1 Hoy única actividad, Recuperacion de Materiales y Desechos no metalicos</t>
  </si>
  <si>
    <t>FACT</t>
  </si>
  <si>
    <t>FECHA</t>
  </si>
  <si>
    <t>CLIENTE</t>
  </si>
  <si>
    <t>CUIT</t>
  </si>
  <si>
    <t>IMPORTE</t>
  </si>
  <si>
    <t>IVA 21</t>
  </si>
  <si>
    <t>IVA 10,5</t>
  </si>
  <si>
    <t>IMPORTO</t>
  </si>
  <si>
    <t>FECHA PAGO</t>
  </si>
  <si>
    <t>FORMA DE PAGO</t>
  </si>
  <si>
    <t>RECIB Nº</t>
  </si>
  <si>
    <t>OBSERV.</t>
  </si>
  <si>
    <t xml:space="preserve">RECIBOS CLIENTE </t>
  </si>
  <si>
    <t>RECIBO</t>
  </si>
  <si>
    <t>RETENCIONES</t>
  </si>
  <si>
    <t>Importe total</t>
  </si>
  <si>
    <t>FORMA 
DE PAGO</t>
  </si>
  <si>
    <t>OBSERVACIONES</t>
  </si>
  <si>
    <t>IIBB/ cba</t>
  </si>
  <si>
    <t>GANANCIAS</t>
  </si>
  <si>
    <t>IVA</t>
  </si>
  <si>
    <t>SUSS</t>
  </si>
  <si>
    <t>OTROS</t>
  </si>
  <si>
    <t xml:space="preserve"> </t>
  </si>
  <si>
    <t>TOTALES →</t>
  </si>
  <si>
    <t>LIBRO IVA COMPRAS</t>
  </si>
  <si>
    <t>RAZON SOCIAL:</t>
  </si>
  <si>
    <t>ISLA ECOLOGICA SA</t>
  </si>
  <si>
    <t>Hoja Nº:</t>
  </si>
  <si>
    <t>CUIT:  30-71543101-3</t>
  </si>
  <si>
    <t>Nº Compr.</t>
  </si>
  <si>
    <t>Razon Social</t>
  </si>
  <si>
    <t>Cuit</t>
  </si>
  <si>
    <t>Condición</t>
  </si>
  <si>
    <t>Concepto</t>
  </si>
  <si>
    <t>Forma de Pago</t>
  </si>
  <si>
    <t>Neto Gravado</t>
  </si>
  <si>
    <t>Iva % 10,5</t>
  </si>
  <si>
    <t xml:space="preserve">Iva % 21 </t>
  </si>
  <si>
    <t>Iva 27%</t>
  </si>
  <si>
    <t>IVA 3%</t>
  </si>
  <si>
    <t>Perc. IIBB</t>
  </si>
  <si>
    <t>Perc. Munic.</t>
  </si>
  <si>
    <t>No Gravado y Exento</t>
  </si>
  <si>
    <t>RI</t>
  </si>
  <si>
    <t>MES: Enero 2023</t>
  </si>
  <si>
    <t>MES:Abril 2023</t>
  </si>
  <si>
    <t>Combustible</t>
  </si>
  <si>
    <t>LUCAM S.A.</t>
  </si>
  <si>
    <t>30-61415063-3</t>
  </si>
  <si>
    <t>20-24841139-3</t>
  </si>
  <si>
    <t>MAG S.R.L.</t>
  </si>
  <si>
    <t>30-70708893-8</t>
  </si>
  <si>
    <t>NELSO S.A.</t>
  </si>
  <si>
    <t>30-68760432-2</t>
  </si>
  <si>
    <t xml:space="preserve"> Factura B</t>
  </si>
  <si>
    <t xml:space="preserve"> Factura A</t>
  </si>
  <si>
    <t>LX ARGENTINA S.A.</t>
  </si>
  <si>
    <t>Consumidor final</t>
  </si>
  <si>
    <t>BAGLEY ARGENTINA S. A.</t>
  </si>
  <si>
    <t>30-70889578-5</t>
  </si>
  <si>
    <t>Materiales</t>
  </si>
  <si>
    <t>TASSI IVAN DARIO</t>
  </si>
  <si>
    <t>SAN URBANO</t>
  </si>
  <si>
    <t>30-54831907-6</t>
  </si>
  <si>
    <t xml:space="preserve"> Nota de Crédito A</t>
  </si>
  <si>
    <t>02/06/2026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</si>
  <si>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</si>
  <si>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</si>
  <si>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</si>
  <si>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</si>
  <si>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</si>
  <si>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</si>
  <si>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</si>
  <si>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13/06/2026</t>
  </si>
  <si>
    <t>16/06/2026</t>
  </si>
  <si>
    <t>17/06/2026</t>
  </si>
  <si>
    <t>18/06/2026</t>
  </si>
  <si>
    <t>19/06/2026</t>
  </si>
  <si>
    <t>20/06/2026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</si>
  <si>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</si>
  <si>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</si>
  <si>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</si>
  <si>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</si>
  <si>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</si>
  <si>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</si>
  <si>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</si>
  <si>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</si>
  <si>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FFMM PALL S.A.S.</t>
  </si>
  <si>
    <t>01/06/2026</t>
  </si>
  <si>
    <t>04/06/2026</t>
  </si>
  <si>
    <t>ALEMMA S.A.</t>
  </si>
  <si>
    <t>33-71742281-9</t>
  </si>
  <si>
    <t>GRUPO PEGASO S.R.L.</t>
  </si>
  <si>
    <t>30-71580302-6</t>
  </si>
  <si>
    <t>30-66970163-9</t>
  </si>
  <si>
    <t>SAN URBANO S.A.</t>
  </si>
  <si>
    <t>EMPRESA PROVINCIAL DE ENERGÍA DE CÓRDOBA S.A.U.</t>
  </si>
  <si>
    <t xml:space="preserve"> 30-99902748-9</t>
  </si>
  <si>
    <t>Electricidad</t>
  </si>
  <si>
    <t>El monto final de la factura fue de $198.605,70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</si>
</sst>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/d/yyyy"/>
    <numFmt numFmtId="165" formatCode="0000"/>
    <numFmt numFmtId="166" formatCode="00000000"/>
    <numFmt numFmtId="167" formatCode="[$$-2C0A]\ #,##0.00"/>
    <numFmt numFmtId="168" formatCode="dd/mm/yy;@"/>
    <numFmt numFmtId="170" formatCode="d/m/yyyy;@"/>
    <numFmt numFmtId="171" formatCode="d/m/yy;@"/>
  </numFmts>
  <fonts count="3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name val="Century Gothic"/>
      <family val="2"/>
      <charset val="1"/>
    </font>
    <font>
      <sz val="8"/>
      <name val="Century Gothic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b/>
      <u/>
      <sz val="9"/>
      <name val="Century Gothic"/>
      <family val="2"/>
      <charset val="1"/>
    </font>
    <font>
      <b/>
      <u/>
      <sz val="8"/>
      <name val="Century Gothic"/>
      <family val="2"/>
      <charset val="1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Bookman Old Style"/>
      <family val="1"/>
    </font>
    <font>
      <b/>
      <u/>
      <sz val="14"/>
      <name val="Bookman Old Style"/>
      <family val="1"/>
    </font>
    <font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A6A6A6"/>
        <bgColor rgb="FF9999FF"/>
      </patternFill>
    </fill>
    <fill>
      <patternFill patternType="solid">
        <fgColor rgb="FFD9D9D9"/>
        <bgColor rgb="FFCCC1DA"/>
      </patternFill>
    </fill>
    <fill>
      <patternFill patternType="solid">
        <fgColor rgb="FFCCC1DA"/>
        <bgColor rgb="FFD9D9D9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3" fillId="0" borderId="0"/>
    <xf numFmtId="0" fontId="22" fillId="0" borderId="0"/>
    <xf numFmtId="0" fontId="26" fillId="0" borderId="0"/>
    <xf numFmtId="0" fontId="2" fillId="0" borderId="0"/>
    <xf numFmtId="0" fontId="27" fillId="0" borderId="0"/>
    <xf numFmtId="0" fontId="29" fillId="0" borderId="0"/>
  </cellStyleXfs>
  <cellXfs count="294">
    <xf numFmtId="0" fontId="0" fillId="0" borderId="0" xfId="0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7" fontId="6" fillId="0" borderId="0" xfId="1" applyNumberFormat="1" applyFont="1" applyAlignment="1">
      <alignment horizontal="left"/>
    </xf>
    <xf numFmtId="164" fontId="7" fillId="0" borderId="2" xfId="2" applyNumberFormat="1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165" fontId="4" fillId="0" borderId="2" xfId="2" applyNumberFormat="1" applyFont="1" applyBorder="1" applyAlignment="1">
      <alignment horizontal="center"/>
    </xf>
    <xf numFmtId="166" fontId="4" fillId="0" borderId="2" xfId="2" applyNumberFormat="1" applyFont="1" applyBorder="1" applyAlignment="1">
      <alignment horizontal="center"/>
    </xf>
    <xf numFmtId="4" fontId="7" fillId="0" borderId="2" xfId="2" applyNumberFormat="1" applyFont="1" applyBorder="1" applyAlignment="1">
      <alignment horizontal="left"/>
    </xf>
    <xf numFmtId="4" fontId="7" fillId="0" borderId="2" xfId="2" applyNumberFormat="1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0" fillId="0" borderId="2" xfId="0" applyBorder="1"/>
    <xf numFmtId="164" fontId="5" fillId="0" borderId="3" xfId="1" applyNumberFormat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4" fontId="5" fillId="0" borderId="5" xfId="1" applyNumberFormat="1" applyFont="1" applyBorder="1" applyAlignment="1">
      <alignment horizontal="left"/>
    </xf>
    <xf numFmtId="164" fontId="4" fillId="0" borderId="0" xfId="1" applyNumberFormat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4" fillId="0" borderId="0" xfId="1" applyFont="1" applyBorder="1" applyAlignment="1">
      <alignment horizontal="center"/>
    </xf>
    <xf numFmtId="4" fontId="4" fillId="0" borderId="0" xfId="1" applyNumberFormat="1" applyFont="1" applyBorder="1" applyAlignment="1">
      <alignment horizontal="left"/>
    </xf>
    <xf numFmtId="0" fontId="4" fillId="0" borderId="0" xfId="1" applyFont="1" applyBorder="1"/>
    <xf numFmtId="164" fontId="4" fillId="0" borderId="6" xfId="1" applyNumberFormat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4" fillId="0" borderId="9" xfId="1" applyFont="1" applyBorder="1" applyAlignment="1">
      <alignment horizontal="center"/>
    </xf>
    <xf numFmtId="4" fontId="4" fillId="0" borderId="9" xfId="1" applyNumberFormat="1" applyFont="1" applyBorder="1" applyAlignment="1">
      <alignment horizontal="left"/>
    </xf>
    <xf numFmtId="4" fontId="4" fillId="0" borderId="10" xfId="1" applyNumberFormat="1" applyFont="1" applyBorder="1" applyAlignment="1">
      <alignment horizontal="left"/>
    </xf>
    <xf numFmtId="164" fontId="7" fillId="0" borderId="12" xfId="2" applyNumberFormat="1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4" fontId="7" fillId="0" borderId="13" xfId="2" applyNumberFormat="1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4" fontId="7" fillId="0" borderId="14" xfId="2" applyNumberFormat="1" applyFont="1" applyBorder="1" applyAlignment="1">
      <alignment horizontal="center"/>
    </xf>
    <xf numFmtId="164" fontId="7" fillId="0" borderId="16" xfId="2" applyNumberFormat="1" applyFont="1" applyBorder="1" applyAlignment="1">
      <alignment horizontal="center"/>
    </xf>
    <xf numFmtId="164" fontId="4" fillId="0" borderId="17" xfId="1" applyNumberFormat="1" applyFont="1" applyBorder="1" applyAlignment="1">
      <alignment horizontal="left"/>
    </xf>
    <xf numFmtId="0" fontId="4" fillId="0" borderId="1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4" fontId="4" fillId="0" borderId="18" xfId="1" applyNumberFormat="1" applyFont="1" applyBorder="1" applyAlignment="1">
      <alignment horizontal="left"/>
    </xf>
    <xf numFmtId="4" fontId="4" fillId="0" borderId="19" xfId="1" applyNumberFormat="1" applyFont="1" applyBorder="1" applyAlignment="1">
      <alignment horizontal="left"/>
    </xf>
    <xf numFmtId="0" fontId="0" fillId="0" borderId="0" xfId="0"/>
    <xf numFmtId="0" fontId="5" fillId="0" borderId="4" xfId="1" applyFont="1" applyBorder="1" applyAlignment="1">
      <alignment horizontal="center"/>
    </xf>
    <xf numFmtId="164" fontId="4" fillId="0" borderId="20" xfId="1" applyNumberFormat="1" applyFont="1" applyBorder="1" applyAlignment="1">
      <alignment horizontal="left"/>
    </xf>
    <xf numFmtId="0" fontId="4" fillId="0" borderId="21" xfId="1" applyFont="1" applyBorder="1" applyAlignment="1">
      <alignment horizontal="left"/>
    </xf>
    <xf numFmtId="0" fontId="4" fillId="0" borderId="21" xfId="1" applyFont="1" applyBorder="1" applyAlignment="1">
      <alignment horizontal="center"/>
    </xf>
    <xf numFmtId="4" fontId="4" fillId="0" borderId="22" xfId="1" applyNumberFormat="1" applyFont="1" applyBorder="1" applyAlignment="1">
      <alignment horizontal="left"/>
    </xf>
    <xf numFmtId="4" fontId="4" fillId="0" borderId="23" xfId="1" applyNumberFormat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9" xfId="1" applyFont="1" applyBorder="1" applyAlignment="1">
      <alignment horizontal="left"/>
    </xf>
    <xf numFmtId="0" fontId="5" fillId="0" borderId="9" xfId="1" applyFont="1" applyBorder="1" applyAlignment="1">
      <alignment horizontal="center"/>
    </xf>
    <xf numFmtId="4" fontId="5" fillId="0" borderId="11" xfId="1" applyNumberFormat="1" applyFont="1" applyBorder="1" applyAlignment="1">
      <alignment horizontal="left"/>
    </xf>
    <xf numFmtId="4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left"/>
    </xf>
    <xf numFmtId="4" fontId="5" fillId="2" borderId="0" xfId="1" applyNumberFormat="1" applyFont="1" applyFill="1" applyAlignment="1">
      <alignment horizontal="left"/>
    </xf>
    <xf numFmtId="0" fontId="10" fillId="0" borderId="0" xfId="0" applyFont="1"/>
    <xf numFmtId="17" fontId="11" fillId="0" borderId="0" xfId="0" applyNumberFormat="1" applyFont="1"/>
    <xf numFmtId="0" fontId="12" fillId="3" borderId="2" xfId="0" applyFont="1" applyFill="1" applyBorder="1" applyAlignment="1">
      <alignment horizontal="center"/>
    </xf>
    <xf numFmtId="166" fontId="7" fillId="0" borderId="2" xfId="2" applyNumberFormat="1" applyFont="1" applyBorder="1" applyAlignment="1">
      <alignment horizontal="center"/>
    </xf>
    <xf numFmtId="16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16" fontId="7" fillId="0" borderId="2" xfId="0" applyNumberFormat="1" applyFont="1" applyBorder="1" applyAlignment="1">
      <alignment horizontal="center" wrapText="1"/>
    </xf>
    <xf numFmtId="16" fontId="13" fillId="0" borderId="2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0" fillId="5" borderId="2" xfId="0" applyFont="1" applyFill="1" applyBorder="1" applyAlignment="1">
      <alignment horizontal="center" vertical="center"/>
    </xf>
    <xf numFmtId="16" fontId="0" fillId="0" borderId="2" xfId="0" applyNumberFormat="1" applyBorder="1"/>
    <xf numFmtId="0" fontId="0" fillId="0" borderId="2" xfId="0" applyBorder="1" applyAlignment="1">
      <alignment horizontal="left"/>
    </xf>
    <xf numFmtId="167" fontId="0" fillId="0" borderId="2" xfId="0" applyNumberFormat="1" applyBorder="1"/>
    <xf numFmtId="0" fontId="0" fillId="0" borderId="2" xfId="0" applyBorder="1" applyAlignment="1">
      <alignment wrapText="1"/>
    </xf>
    <xf numFmtId="167" fontId="0" fillId="0" borderId="0" xfId="0" applyNumberFormat="1"/>
    <xf numFmtId="0" fontId="0" fillId="0" borderId="0" xfId="0" applyAlignment="1">
      <alignment horizontal="left"/>
    </xf>
    <xf numFmtId="4" fontId="16" fillId="0" borderId="2" xfId="0" applyNumberFormat="1" applyFont="1" applyBorder="1" applyAlignment="1">
      <alignment horizontal="center"/>
    </xf>
    <xf numFmtId="4" fontId="4" fillId="0" borderId="2" xfId="2" applyNumberFormat="1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4" fillId="0" borderId="2" xfId="2" applyNumberFormat="1" applyBorder="1" applyAlignment="1">
      <alignment horizontal="center"/>
    </xf>
    <xf numFmtId="4" fontId="0" fillId="0" borderId="25" xfId="0" applyNumberFormat="1" applyBorder="1" applyAlignment="1"/>
    <xf numFmtId="0" fontId="5" fillId="0" borderId="28" xfId="2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7" fillId="6" borderId="30" xfId="0" applyFont="1" applyFill="1" applyBorder="1" applyAlignment="1">
      <alignment horizontal="center"/>
    </xf>
    <xf numFmtId="0" fontId="17" fillId="6" borderId="30" xfId="0" applyFont="1" applyFill="1" applyBorder="1" applyAlignment="1">
      <alignment horizontal="center" wrapText="1"/>
    </xf>
    <xf numFmtId="0" fontId="18" fillId="6" borderId="30" xfId="0" applyFont="1" applyFill="1" applyBorder="1" applyAlignment="1">
      <alignment horizontal="center"/>
    </xf>
    <xf numFmtId="9" fontId="18" fillId="6" borderId="30" xfId="0" applyNumberFormat="1" applyFont="1" applyFill="1" applyBorder="1" applyAlignment="1">
      <alignment horizontal="center"/>
    </xf>
    <xf numFmtId="10" fontId="18" fillId="6" borderId="30" xfId="0" applyNumberFormat="1" applyFont="1" applyFill="1" applyBorder="1" applyAlignment="1">
      <alignment horizontal="center"/>
    </xf>
    <xf numFmtId="9" fontId="18" fillId="6" borderId="30" xfId="0" applyNumberFormat="1" applyFont="1" applyFill="1" applyBorder="1" applyAlignment="1">
      <alignment horizontal="center" wrapText="1"/>
    </xf>
    <xf numFmtId="9" fontId="18" fillId="6" borderId="21" xfId="0" applyNumberFormat="1" applyFont="1" applyFill="1" applyBorder="1" applyAlignment="1">
      <alignment horizontal="center" wrapText="1"/>
    </xf>
    <xf numFmtId="164" fontId="4" fillId="0" borderId="2" xfId="2" applyNumberFormat="1" applyFont="1" applyBorder="1" applyAlignment="1">
      <alignment horizontal="center"/>
    </xf>
    <xf numFmtId="0" fontId="3" fillId="0" borderId="0" xfId="3" applyFill="1" applyAlignment="1"/>
    <xf numFmtId="0" fontId="3" fillId="0" borderId="0" xfId="3" applyFill="1" applyAlignment="1">
      <alignment horizontal="left"/>
    </xf>
    <xf numFmtId="0" fontId="3" fillId="0" borderId="0" xfId="3" applyFill="1" applyAlignment="1">
      <alignment horizontal="right"/>
    </xf>
    <xf numFmtId="0" fontId="3" fillId="0" borderId="0" xfId="3" applyNumberFormat="1" applyFill="1" applyAlignment="1"/>
    <xf numFmtId="4" fontId="19" fillId="0" borderId="9" xfId="3" applyNumberFormat="1" applyFont="1" applyFill="1" applyBorder="1" applyAlignment="1">
      <alignment horizontal="right"/>
    </xf>
    <xf numFmtId="0" fontId="20" fillId="0" borderId="9" xfId="3" applyFont="1" applyFill="1" applyBorder="1" applyAlignment="1">
      <alignment horizontal="left"/>
    </xf>
    <xf numFmtId="0" fontId="19" fillId="0" borderId="10" xfId="3" applyFont="1" applyFill="1" applyBorder="1" applyAlignment="1">
      <alignment horizontal="left"/>
    </xf>
    <xf numFmtId="0" fontId="19" fillId="0" borderId="9" xfId="3" applyFont="1" applyFill="1" applyBorder="1" applyAlignment="1">
      <alignment horizontal="left"/>
    </xf>
    <xf numFmtId="14" fontId="19" fillId="0" borderId="7" xfId="3" applyNumberFormat="1" applyFont="1" applyFill="1" applyBorder="1" applyAlignment="1"/>
    <xf numFmtId="4" fontId="3" fillId="0" borderId="31" xfId="3" applyNumberFormat="1" applyFill="1" applyBorder="1" applyAlignment="1"/>
    <xf numFmtId="4" fontId="3" fillId="0" borderId="30" xfId="3" applyNumberFormat="1" applyFill="1" applyBorder="1" applyAlignment="1">
      <alignment horizontal="right"/>
    </xf>
    <xf numFmtId="4" fontId="3" fillId="0" borderId="30" xfId="3" applyNumberFormat="1" applyFill="1" applyBorder="1" applyAlignment="1">
      <alignment horizontal="center"/>
    </xf>
    <xf numFmtId="4" fontId="3" fillId="0" borderId="2" xfId="3" applyNumberFormat="1" applyFill="1" applyBorder="1" applyAlignment="1"/>
    <xf numFmtId="4" fontId="3" fillId="0" borderId="30" xfId="3" applyNumberFormat="1" applyFill="1" applyBorder="1" applyAlignment="1">
      <alignment horizontal="left"/>
    </xf>
    <xf numFmtId="0" fontId="21" fillId="0" borderId="30" xfId="3" applyFont="1" applyFill="1" applyBorder="1" applyAlignment="1">
      <alignment horizontal="left"/>
    </xf>
    <xf numFmtId="0" fontId="22" fillId="0" borderId="30" xfId="3" applyFont="1" applyFill="1" applyBorder="1" applyAlignment="1">
      <alignment horizontal="left"/>
    </xf>
    <xf numFmtId="0" fontId="22" fillId="0" borderId="30" xfId="3" applyFont="1" applyFill="1" applyBorder="1" applyAlignment="1"/>
    <xf numFmtId="0" fontId="22" fillId="0" borderId="30" xfId="3" applyNumberFormat="1" applyFont="1" applyFill="1" applyBorder="1" applyAlignment="1">
      <alignment horizontal="center"/>
    </xf>
    <xf numFmtId="14" fontId="22" fillId="0" borderId="29" xfId="3" applyNumberFormat="1" applyFont="1" applyFill="1" applyBorder="1" applyAlignment="1"/>
    <xf numFmtId="4" fontId="3" fillId="0" borderId="25" xfId="3" applyNumberFormat="1" applyFill="1" applyBorder="1" applyAlignment="1"/>
    <xf numFmtId="4" fontId="3" fillId="0" borderId="2" xfId="3" applyNumberFormat="1" applyFill="1" applyBorder="1" applyAlignment="1">
      <alignment horizontal="right"/>
    </xf>
    <xf numFmtId="4" fontId="3" fillId="0" borderId="2" xfId="3" applyNumberFormat="1" applyFill="1" applyBorder="1" applyAlignment="1">
      <alignment horizontal="center"/>
    </xf>
    <xf numFmtId="4" fontId="3" fillId="0" borderId="2" xfId="3" applyNumberFormat="1" applyFill="1" applyBorder="1" applyAlignment="1">
      <alignment horizontal="left"/>
    </xf>
    <xf numFmtId="0" fontId="21" fillId="0" borderId="2" xfId="3" applyFont="1" applyFill="1" applyBorder="1" applyAlignment="1">
      <alignment horizontal="left"/>
    </xf>
    <xf numFmtId="0" fontId="22" fillId="0" borderId="2" xfId="3" applyFont="1" applyFill="1" applyBorder="1" applyAlignment="1">
      <alignment horizontal="left"/>
    </xf>
    <xf numFmtId="0" fontId="22" fillId="0" borderId="2" xfId="3" applyFont="1" applyFill="1" applyBorder="1" applyAlignment="1"/>
    <xf numFmtId="0" fontId="22" fillId="0" borderId="2" xfId="3" applyNumberFormat="1" applyFont="1" applyFill="1" applyBorder="1" applyAlignment="1">
      <alignment horizontal="center"/>
    </xf>
    <xf numFmtId="14" fontId="22" fillId="0" borderId="16" xfId="3" applyNumberFormat="1" applyFont="1" applyFill="1" applyBorder="1" applyAlignment="1"/>
    <xf numFmtId="4" fontId="3" fillId="0" borderId="15" xfId="3" applyNumberFormat="1" applyFill="1" applyBorder="1" applyAlignment="1"/>
    <xf numFmtId="4" fontId="3" fillId="0" borderId="13" xfId="3" applyNumberFormat="1" applyFill="1" applyBorder="1" applyAlignment="1">
      <alignment horizontal="right"/>
    </xf>
    <xf numFmtId="4" fontId="3" fillId="0" borderId="13" xfId="3" applyNumberFormat="1" applyFill="1" applyBorder="1" applyAlignment="1">
      <alignment horizontal="center"/>
    </xf>
    <xf numFmtId="4" fontId="3" fillId="0" borderId="13" xfId="3" applyNumberFormat="1" applyFill="1" applyBorder="1" applyAlignment="1"/>
    <xf numFmtId="4" fontId="3" fillId="0" borderId="13" xfId="3" applyNumberFormat="1" applyFill="1" applyBorder="1" applyAlignment="1">
      <alignment horizontal="left"/>
    </xf>
    <xf numFmtId="0" fontId="21" fillId="0" borderId="13" xfId="3" applyFont="1" applyFill="1" applyBorder="1" applyAlignment="1">
      <alignment horizontal="left"/>
    </xf>
    <xf numFmtId="0" fontId="22" fillId="0" borderId="13" xfId="3" applyFont="1" applyFill="1" applyBorder="1" applyAlignment="1">
      <alignment horizontal="left"/>
    </xf>
    <xf numFmtId="0" fontId="22" fillId="0" borderId="13" xfId="3" applyFont="1" applyFill="1" applyBorder="1" applyAlignment="1"/>
    <xf numFmtId="0" fontId="22" fillId="0" borderId="13" xfId="3" applyNumberFormat="1" applyFont="1" applyFill="1" applyBorder="1" applyAlignment="1">
      <alignment horizontal="center"/>
    </xf>
    <xf numFmtId="14" fontId="22" fillId="0" borderId="12" xfId="3" applyNumberFormat="1" applyFont="1" applyFill="1" applyBorder="1" applyAlignment="1"/>
    <xf numFmtId="4" fontId="3" fillId="0" borderId="0" xfId="3" applyNumberFormat="1" applyFill="1" applyBorder="1" applyAlignment="1"/>
    <xf numFmtId="4" fontId="3" fillId="0" borderId="0" xfId="3" applyNumberFormat="1" applyFill="1" applyBorder="1" applyAlignment="1">
      <alignment horizontal="right"/>
    </xf>
    <xf numFmtId="4" fontId="3" fillId="0" borderId="0" xfId="3" applyNumberFormat="1" applyFill="1" applyBorder="1" applyAlignment="1">
      <alignment horizontal="center"/>
    </xf>
    <xf numFmtId="4" fontId="3" fillId="0" borderId="0" xfId="3" applyNumberFormat="1" applyFill="1" applyBorder="1" applyAlignment="1">
      <alignment horizontal="left"/>
    </xf>
    <xf numFmtId="0" fontId="21" fillId="0" borderId="0" xfId="3" applyFont="1" applyFill="1" applyBorder="1" applyAlignment="1">
      <alignment horizontal="left"/>
    </xf>
    <xf numFmtId="4" fontId="19" fillId="0" borderId="0" xfId="3" applyNumberFormat="1" applyFont="1" applyFill="1" applyBorder="1" applyAlignment="1">
      <alignment horizontal="right"/>
    </xf>
    <xf numFmtId="0" fontId="20" fillId="0" borderId="0" xfId="3" applyFont="1" applyFill="1" applyBorder="1" applyAlignment="1">
      <alignment horizontal="left"/>
    </xf>
    <xf numFmtId="0" fontId="19" fillId="0" borderId="0" xfId="3" applyFont="1" applyFill="1" applyBorder="1" applyAlignment="1">
      <alignment horizontal="left"/>
    </xf>
    <xf numFmtId="0" fontId="19" fillId="0" borderId="0" xfId="3" applyFont="1" applyFill="1" applyBorder="1" applyAlignment="1"/>
    <xf numFmtId="0" fontId="19" fillId="0" borderId="0" xfId="3" applyNumberFormat="1" applyFont="1" applyFill="1" applyBorder="1" applyAlignment="1">
      <alignment horizontal="center"/>
    </xf>
    <xf numFmtId="14" fontId="19" fillId="0" borderId="0" xfId="3" applyNumberFormat="1" applyFont="1" applyFill="1" applyBorder="1" applyAlignment="1"/>
    <xf numFmtId="4" fontId="19" fillId="0" borderId="2" xfId="3" applyNumberFormat="1" applyFont="1" applyFill="1" applyBorder="1" applyAlignment="1">
      <alignment horizontal="right"/>
    </xf>
    <xf numFmtId="0" fontId="22" fillId="0" borderId="2" xfId="4" applyFont="1" applyFill="1" applyBorder="1" applyAlignment="1">
      <alignment horizontal="center"/>
    </xf>
    <xf numFmtId="4" fontId="22" fillId="0" borderId="2" xfId="4" applyNumberFormat="1" applyFill="1" applyBorder="1" applyAlignment="1">
      <alignment horizontal="center"/>
    </xf>
    <xf numFmtId="1" fontId="22" fillId="0" borderId="2" xfId="3" applyNumberFormat="1" applyFont="1" applyFill="1" applyBorder="1" applyAlignment="1">
      <alignment horizontal="center"/>
    </xf>
    <xf numFmtId="0" fontId="22" fillId="0" borderId="2" xfId="3" applyFont="1" applyFill="1" applyBorder="1" applyAlignment="1">
      <alignment horizontal="center"/>
    </xf>
    <xf numFmtId="168" fontId="22" fillId="0" borderId="2" xfId="4" applyNumberFormat="1" applyFont="1" applyFill="1" applyBorder="1" applyAlignment="1">
      <alignment horizontal="center"/>
    </xf>
    <xf numFmtId="4" fontId="23" fillId="0" borderId="2" xfId="3" applyNumberFormat="1" applyFont="1" applyFill="1" applyBorder="1" applyAlignment="1">
      <alignment horizontal="center"/>
    </xf>
    <xf numFmtId="0" fontId="3" fillId="0" borderId="0" xfId="3" applyFill="1" applyBorder="1" applyAlignment="1"/>
    <xf numFmtId="0" fontId="3" fillId="0" borderId="0" xfId="3" applyFill="1" applyAlignment="1">
      <alignment horizontal="center"/>
    </xf>
    <xf numFmtId="0" fontId="3" fillId="0" borderId="0" xfId="3" applyNumberFormat="1" applyFill="1" applyAlignment="1">
      <alignment horizontal="center"/>
    </xf>
    <xf numFmtId="0" fontId="19" fillId="0" borderId="0" xfId="3" applyFont="1" applyFill="1" applyAlignment="1"/>
    <xf numFmtId="4" fontId="3" fillId="0" borderId="0" xfId="3" applyNumberFormat="1" applyFill="1" applyAlignment="1"/>
    <xf numFmtId="4" fontId="3" fillId="0" borderId="0" xfId="3" applyNumberFormat="1" applyFill="1" applyAlignment="1">
      <alignment horizontal="left"/>
    </xf>
    <xf numFmtId="0" fontId="22" fillId="0" borderId="0" xfId="3" applyFont="1" applyFill="1" applyAlignment="1"/>
    <xf numFmtId="17" fontId="3" fillId="0" borderId="0" xfId="3" applyNumberFormat="1" applyFill="1" applyAlignment="1"/>
    <xf numFmtId="0" fontId="24" fillId="0" borderId="0" xfId="3" applyFont="1" applyFill="1" applyAlignment="1">
      <alignment horizontal="right"/>
    </xf>
    <xf numFmtId="0" fontId="19" fillId="0" borderId="0" xfId="3" applyNumberFormat="1" applyFont="1" applyFill="1" applyAlignment="1">
      <alignment horizontal="center"/>
    </xf>
    <xf numFmtId="4" fontId="22" fillId="0" borderId="26" xfId="4" applyNumberFormat="1" applyFill="1" applyBorder="1" applyAlignment="1">
      <alignment horizontal="right"/>
    </xf>
    <xf numFmtId="4" fontId="0" fillId="0" borderId="2" xfId="0" applyNumberFormat="1" applyFill="1" applyBorder="1" applyAlignment="1">
      <alignment horizontal="right"/>
    </xf>
    <xf numFmtId="0" fontId="0" fillId="0" borderId="0" xfId="0" applyBorder="1"/>
    <xf numFmtId="1" fontId="22" fillId="0" borderId="2" xfId="0" applyNumberFormat="1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4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2" fillId="0" borderId="2" xfId="4" applyFont="1" applyFill="1" applyBorder="1" applyAlignment="1">
      <alignment horizontal="center"/>
    </xf>
    <xf numFmtId="165" fontId="22" fillId="0" borderId="2" xfId="4" applyNumberFormat="1" applyFont="1" applyFill="1" applyBorder="1" applyAlignment="1">
      <alignment horizontal="center"/>
    </xf>
    <xf numFmtId="166" fontId="22" fillId="0" borderId="2" xfId="4" applyNumberFormat="1" applyFont="1" applyFill="1" applyBorder="1" applyAlignment="1">
      <alignment horizontal="center"/>
    </xf>
    <xf numFmtId="4" fontId="22" fillId="0" borderId="2" xfId="4" applyNumberFormat="1" applyFont="1" applyFill="1" applyBorder="1" applyAlignment="1">
      <alignment horizontal="center"/>
    </xf>
    <xf numFmtId="168" fontId="22" fillId="0" borderId="27" xfId="4" applyNumberFormat="1" applyFont="1" applyFill="1" applyBorder="1" applyAlignment="1">
      <alignment horizontal="center"/>
    </xf>
    <xf numFmtId="0" fontId="22" fillId="0" borderId="2" xfId="0" applyFont="1" applyFill="1" applyBorder="1" applyAlignment="1">
      <alignment horizontal="center"/>
    </xf>
    <xf numFmtId="4" fontId="28" fillId="0" borderId="2" xfId="0" applyNumberFormat="1" applyFont="1" applyFill="1" applyBorder="1" applyAlignment="1">
      <alignment horizontal="right"/>
    </xf>
    <xf numFmtId="0" fontId="23" fillId="0" borderId="0" xfId="3" applyFont="1" applyFill="1" applyBorder="1" applyAlignment="1"/>
    <xf numFmtId="0" fontId="23" fillId="0" borderId="0" xfId="3" applyFont="1" applyFill="1" applyAlignment="1"/>
    <xf numFmtId="0" fontId="4" fillId="0" borderId="0" xfId="1" applyFont="1" applyAlignment="1">
      <alignment horizontal="left" wrapText="1"/>
    </xf>
    <xf numFmtId="0" fontId="6" fillId="0" borderId="0" xfId="1" applyFont="1" applyAlignment="1">
      <alignment horizontal="left" wrapText="1"/>
    </xf>
    <xf numFmtId="0" fontId="4" fillId="0" borderId="0" xfId="1" applyFont="1" applyBorder="1" applyAlignment="1">
      <alignment horizontal="left" wrapText="1"/>
    </xf>
    <xf numFmtId="0" fontId="4" fillId="0" borderId="9" xfId="1" applyFont="1" applyBorder="1" applyAlignment="1">
      <alignment horizontal="left" wrapText="1"/>
    </xf>
    <xf numFmtId="4" fontId="7" fillId="0" borderId="2" xfId="2" applyNumberFormat="1" applyFont="1" applyBorder="1" applyAlignment="1">
      <alignment horizontal="left" wrapText="1"/>
    </xf>
    <xf numFmtId="4" fontId="7" fillId="0" borderId="13" xfId="2" applyNumberFormat="1" applyFont="1" applyBorder="1" applyAlignment="1">
      <alignment horizontal="left" wrapText="1"/>
    </xf>
    <xf numFmtId="0" fontId="4" fillId="0" borderId="18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4" fillId="0" borderId="21" xfId="1" applyFont="1" applyBorder="1" applyAlignment="1">
      <alignment horizontal="left" wrapText="1"/>
    </xf>
    <xf numFmtId="0" fontId="0" fillId="0" borderId="0" xfId="0" applyAlignment="1">
      <alignment wrapText="1"/>
    </xf>
    <xf numFmtId="4" fontId="22" fillId="0" borderId="2" xfId="4" applyNumberFormat="1" applyFill="1" applyBorder="1" applyAlignment="1">
      <alignment horizontal="right"/>
    </xf>
    <xf numFmtId="4" fontId="23" fillId="0" borderId="2" xfId="0" applyNumberFormat="1" applyFont="1" applyFill="1" applyBorder="1" applyAlignment="1">
      <alignment horizontal="center"/>
    </xf>
    <xf numFmtId="0" fontId="22" fillId="0" borderId="30" xfId="4" applyFont="1" applyFill="1" applyBorder="1" applyAlignment="1">
      <alignment horizontal="center"/>
    </xf>
    <xf numFmtId="4" fontId="23" fillId="0" borderId="30" xfId="0" applyNumberFormat="1" applyFont="1" applyFill="1" applyBorder="1" applyAlignment="1">
      <alignment horizontal="center"/>
    </xf>
    <xf numFmtId="0" fontId="1" fillId="0" borderId="0" xfId="3" applyFont="1" applyFill="1" applyBorder="1" applyAlignment="1"/>
    <xf numFmtId="0" fontId="1" fillId="0" borderId="0" xfId="3" applyFont="1" applyFill="1" applyAlignment="1"/>
    <xf numFmtId="4" fontId="30" fillId="0" borderId="2" xfId="0" applyNumberFormat="1" applyFont="1" applyFill="1" applyBorder="1" applyAlignment="1">
      <alignment horizontal="center"/>
    </xf>
    <xf numFmtId="4" fontId="30" fillId="0" borderId="2" xfId="0" applyNumberFormat="1" applyFont="1" applyFill="1" applyBorder="1" applyAlignment="1">
      <alignment horizontal="right"/>
    </xf>
    <xf numFmtId="4" fontId="30" fillId="0" borderId="30" xfId="0" applyNumberFormat="1" applyFont="1" applyFill="1" applyBorder="1" applyAlignment="1">
      <alignment horizontal="center"/>
    </xf>
    <xf numFmtId="168" fontId="23" fillId="0" borderId="2" xfId="4" applyNumberFormat="1" applyFont="1" applyFill="1" applyBorder="1" applyAlignment="1">
      <alignment horizontal="center"/>
    </xf>
    <xf numFmtId="0" fontId="23" fillId="0" borderId="2" xfId="4" applyFont="1" applyFill="1" applyBorder="1" applyAlignment="1">
      <alignment horizontal="center"/>
    </xf>
    <xf numFmtId="165" fontId="23" fillId="0" borderId="2" xfId="4" applyNumberFormat="1" applyFont="1" applyFill="1" applyBorder="1" applyAlignment="1">
      <alignment horizontal="center"/>
    </xf>
    <xf numFmtId="166" fontId="23" fillId="0" borderId="2" xfId="4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1" fontId="23" fillId="0" borderId="27" xfId="0" applyNumberFormat="1" applyFont="1" applyFill="1" applyBorder="1" applyAlignment="1">
      <alignment horizontal="center"/>
    </xf>
    <xf numFmtId="1" fontId="23" fillId="0" borderId="2" xfId="0" applyNumberFormat="1" applyFont="1" applyFill="1" applyBorder="1" applyAlignment="1">
      <alignment horizontal="center"/>
    </xf>
    <xf numFmtId="4" fontId="23" fillId="0" borderId="2" xfId="4" applyNumberFormat="1" applyFont="1" applyFill="1" applyBorder="1" applyAlignment="1">
      <alignment horizontal="center"/>
    </xf>
    <xf numFmtId="4" fontId="23" fillId="0" borderId="2" xfId="4" applyNumberFormat="1" applyFont="1" applyFill="1" applyBorder="1" applyAlignment="1">
      <alignment horizontal="right"/>
    </xf>
    <xf numFmtId="168" fontId="23" fillId="0" borderId="30" xfId="4" applyNumberFormat="1" applyFont="1" applyFill="1" applyBorder="1" applyAlignment="1">
      <alignment horizontal="center"/>
    </xf>
    <xf numFmtId="0" fontId="23" fillId="0" borderId="30" xfId="4" applyFont="1" applyFill="1" applyBorder="1" applyAlignment="1">
      <alignment horizontal="center"/>
    </xf>
    <xf numFmtId="165" fontId="23" fillId="0" borderId="30" xfId="4" applyNumberFormat="1" applyFont="1" applyFill="1" applyBorder="1" applyAlignment="1">
      <alignment horizontal="center"/>
    </xf>
    <xf numFmtId="166" fontId="23" fillId="0" borderId="30" xfId="4" applyNumberFormat="1" applyFont="1" applyFill="1" applyBorder="1" applyAlignment="1">
      <alignment horizontal="center"/>
    </xf>
    <xf numFmtId="1" fontId="23" fillId="0" borderId="30" xfId="0" applyNumberFormat="1" applyFont="1" applyFill="1" applyBorder="1" applyAlignment="1">
      <alignment horizontal="center"/>
    </xf>
    <xf numFmtId="4" fontId="23" fillId="0" borderId="30" xfId="4" applyNumberFormat="1" applyFont="1" applyFill="1" applyBorder="1" applyAlignment="1">
      <alignment horizontal="center"/>
    </xf>
    <xf numFmtId="4" fontId="23" fillId="0" borderId="30" xfId="4" applyNumberFormat="1" applyFont="1" applyFill="1" applyBorder="1" applyAlignment="1">
      <alignment horizontal="right"/>
    </xf>
    <xf numFmtId="0" fontId="23" fillId="0" borderId="30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14" fontId="19" fillId="0" borderId="30" xfId="3" applyNumberFormat="1" applyFont="1" applyFill="1" applyBorder="1" applyAlignment="1"/>
    <xf numFmtId="168" fontId="22" fillId="0" borderId="16" xfId="4" applyNumberFormat="1" applyFont="1" applyFill="1" applyBorder="1" applyAlignment="1">
      <alignment horizontal="center"/>
    </xf>
    <xf numFmtId="0" fontId="19" fillId="0" borderId="30" xfId="3" applyFont="1" applyFill="1" applyBorder="1" applyAlignment="1">
      <alignment horizontal="left"/>
    </xf>
    <xf numFmtId="0" fontId="19" fillId="0" borderId="30" xfId="3" applyNumberFormat="1" applyFont="1" applyFill="1" applyBorder="1" applyAlignment="1">
      <alignment horizontal="center"/>
    </xf>
    <xf numFmtId="0" fontId="19" fillId="0" borderId="30" xfId="3" applyFont="1" applyFill="1" applyBorder="1" applyAlignment="1"/>
    <xf numFmtId="0" fontId="22" fillId="0" borderId="27" xfId="0" applyFont="1" applyFill="1" applyBorder="1" applyAlignment="1">
      <alignment horizontal="center"/>
    </xf>
    <xf numFmtId="0" fontId="20" fillId="0" borderId="30" xfId="3" applyFont="1" applyFill="1" applyBorder="1" applyAlignment="1">
      <alignment horizontal="left"/>
    </xf>
    <xf numFmtId="4" fontId="19" fillId="0" borderId="30" xfId="3" applyNumberFormat="1" applyFont="1" applyFill="1" applyBorder="1" applyAlignment="1">
      <alignment horizontal="right"/>
    </xf>
    <xf numFmtId="168" fontId="22" fillId="0" borderId="2" xfId="4" applyNumberFormat="1" applyFont="1" applyFill="1" applyBorder="1" applyAlignment="1">
      <alignment horizontal="center" vertical="center"/>
    </xf>
    <xf numFmtId="0" fontId="22" fillId="0" borderId="2" xfId="4" applyFont="1" applyFill="1" applyBorder="1" applyAlignment="1">
      <alignment horizontal="center" vertical="center"/>
    </xf>
    <xf numFmtId="165" fontId="22" fillId="0" borderId="2" xfId="4" applyNumberFormat="1" applyFont="1" applyFill="1" applyBorder="1" applyAlignment="1">
      <alignment horizontal="center" vertical="center"/>
    </xf>
    <xf numFmtId="166" fontId="22" fillId="0" borderId="2" xfId="4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1" fontId="22" fillId="0" borderId="2" xfId="0" applyNumberFormat="1" applyFont="1" applyFill="1" applyBorder="1" applyAlignment="1">
      <alignment horizontal="center" vertical="center"/>
    </xf>
    <xf numFmtId="4" fontId="22" fillId="0" borderId="2" xfId="4" applyNumberFormat="1" applyFont="1" applyFill="1" applyBorder="1" applyAlignment="1">
      <alignment horizontal="center" vertical="center"/>
    </xf>
    <xf numFmtId="4" fontId="33" fillId="0" borderId="2" xfId="0" applyNumberFormat="1" applyFont="1" applyFill="1" applyBorder="1" applyAlignment="1">
      <alignment horizontal="center" vertical="center"/>
    </xf>
    <xf numFmtId="4" fontId="22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" fontId="22" fillId="0" borderId="2" xfId="4" applyNumberFormat="1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  <xf numFmtId="0" fontId="31" fillId="0" borderId="2" xfId="3" applyFont="1" applyFill="1" applyBorder="1" applyAlignment="1">
      <alignment horizontal="center" vertical="center"/>
    </xf>
    <xf numFmtId="0" fontId="31" fillId="0" borderId="2" xfId="3" applyNumberFormat="1" applyFont="1" applyFill="1" applyBorder="1" applyAlignment="1">
      <alignment horizontal="center" vertical="center"/>
    </xf>
    <xf numFmtId="0" fontId="32" fillId="0" borderId="2" xfId="3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26" fillId="0" borderId="0" xfId="1" applyFont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26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5" fillId="0" borderId="2" xfId="0" applyFont="1" applyBorder="1" applyAlignment="1">
      <alignment horizontal="center" wrapText="1"/>
    </xf>
    <xf numFmtId="1" fontId="35" fillId="0" borderId="2" xfId="0" applyNumberFormat="1" applyFont="1" applyBorder="1" applyAlignment="1">
      <alignment horizontal="center"/>
    </xf>
    <xf numFmtId="0" fontId="26" fillId="0" borderId="2" xfId="2" applyFont="1" applyBorder="1" applyAlignment="1">
      <alignment horizontal="center"/>
    </xf>
    <xf numFmtId="165" fontId="26" fillId="0" borderId="2" xfId="2" applyNumberFormat="1" applyFont="1" applyBorder="1" applyAlignment="1">
      <alignment horizontal="center"/>
    </xf>
    <xf numFmtId="166" fontId="26" fillId="0" borderId="2" xfId="2" applyNumberFormat="1" applyFont="1" applyBorder="1" applyAlignment="1">
      <alignment horizontal="center"/>
    </xf>
    <xf numFmtId="4" fontId="26" fillId="0" borderId="2" xfId="2" applyNumberFormat="1" applyFont="1" applyBorder="1" applyAlignment="1">
      <alignment horizontal="center"/>
    </xf>
    <xf numFmtId="4" fontId="26" fillId="0" borderId="2" xfId="2" applyNumberFormat="1" applyFont="1" applyBorder="1" applyAlignment="1">
      <alignment horizontal="center" wrapText="1"/>
    </xf>
    <xf numFmtId="0" fontId="34" fillId="0" borderId="2" xfId="1" applyFont="1" applyBorder="1" applyAlignment="1">
      <alignment horizontal="center"/>
    </xf>
    <xf numFmtId="0" fontId="34" fillId="0" borderId="2" xfId="1" applyFont="1" applyBorder="1" applyAlignment="1">
      <alignment horizontal="center" wrapText="1"/>
    </xf>
    <xf numFmtId="0" fontId="35" fillId="0" borderId="2" xfId="0" applyFont="1" applyBorder="1" applyAlignment="1">
      <alignment horizontal="center"/>
    </xf>
    <xf numFmtId="164" fontId="26" fillId="0" borderId="2" xfId="2" applyNumberFormat="1" applyFont="1" applyBorder="1" applyAlignment="1">
      <alignment horizontal="center"/>
    </xf>
    <xf numFmtId="164" fontId="34" fillId="0" borderId="2" xfId="1" applyNumberFormat="1" applyFont="1" applyBorder="1" applyAlignment="1">
      <alignment horizontal="center"/>
    </xf>
    <xf numFmtId="4" fontId="34" fillId="0" borderId="2" xfId="1" applyNumberFormat="1" applyFont="1" applyBorder="1" applyAlignment="1">
      <alignment horizontal="center"/>
    </xf>
    <xf numFmtId="1" fontId="22" fillId="0" borderId="2" xfId="0" applyNumberFormat="1" applyFont="1" applyFill="1" applyBorder="1" applyAlignment="1">
      <alignment horizontal="center"/>
    </xf>
    <xf numFmtId="4" fontId="33" fillId="0" borderId="2" xfId="0" applyNumberFormat="1" applyFont="1" applyFill="1" applyBorder="1" applyAlignment="1">
      <alignment horizontal="center"/>
    </xf>
    <xf numFmtId="0" fontId="36" fillId="0" borderId="2" xfId="0" applyFont="1" applyFill="1" applyBorder="1" applyAlignment="1">
      <alignment horizontal="center"/>
    </xf>
    <xf numFmtId="0" fontId="22" fillId="0" borderId="30" xfId="4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165" fontId="26" fillId="0" borderId="2" xfId="4" applyNumberFormat="1" applyFont="1" applyFill="1" applyBorder="1" applyAlignment="1">
      <alignment horizontal="center" vertical="center"/>
    </xf>
    <xf numFmtId="166" fontId="26" fillId="0" borderId="2" xfId="4" applyNumberFormat="1" applyFont="1" applyFill="1" applyBorder="1" applyAlignment="1">
      <alignment horizontal="center" vertical="center"/>
    </xf>
    <xf numFmtId="2" fontId="35" fillId="0" borderId="2" xfId="0" applyNumberFormat="1" applyFont="1" applyFill="1" applyBorder="1" applyAlignment="1">
      <alignment horizontal="center" vertical="center"/>
    </xf>
    <xf numFmtId="0" fontId="25" fillId="0" borderId="6" xfId="3" applyFont="1" applyFill="1" applyBorder="1" applyAlignment="1">
      <alignment horizontal="center"/>
    </xf>
    <xf numFmtId="0" fontId="25" fillId="0" borderId="32" xfId="3" applyFont="1" applyFill="1" applyBorder="1" applyAlignment="1">
      <alignment horizontal="center"/>
    </xf>
    <xf numFmtId="0" fontId="25" fillId="0" borderId="24" xfId="3" applyFont="1" applyFill="1" applyBorder="1" applyAlignment="1">
      <alignment horizontal="center"/>
    </xf>
    <xf numFmtId="14" fontId="19" fillId="0" borderId="6" xfId="3" applyNumberFormat="1" applyFont="1" applyFill="1" applyBorder="1" applyAlignment="1">
      <alignment horizontal="center"/>
    </xf>
    <xf numFmtId="14" fontId="19" fillId="0" borderId="32" xfId="3" applyNumberFormat="1" applyFont="1" applyFill="1" applyBorder="1" applyAlignment="1">
      <alignment horizontal="center"/>
    </xf>
    <xf numFmtId="14" fontId="19" fillId="0" borderId="24" xfId="3" applyNumberFormat="1" applyFont="1" applyFill="1" applyBorder="1" applyAlignment="1">
      <alignment horizontal="center"/>
    </xf>
    <xf numFmtId="0" fontId="19" fillId="0" borderId="10" xfId="3" applyFont="1" applyFill="1" applyBorder="1" applyAlignment="1">
      <alignment horizontal="center"/>
    </xf>
    <xf numFmtId="0" fontId="19" fillId="0" borderId="32" xfId="3" applyFont="1" applyFill="1" applyBorder="1" applyAlignment="1">
      <alignment horizontal="center"/>
    </xf>
    <xf numFmtId="0" fontId="19" fillId="0" borderId="8" xfId="3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17" fontId="0" fillId="0" borderId="0" xfId="0" applyNumberFormat="1" applyBorder="1" applyAlignment="1"/>
    <xf numFmtId="0" fontId="34" fillId="0" borderId="2" xfId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 wrapText="1"/>
    </xf>
    <xf numFmtId="170" fontId="35" fillId="0" borderId="2" xfId="0" applyNumberFormat="1" applyFont="1" applyFill="1" applyBorder="1" applyAlignment="1">
      <alignment horizontal="center" vertical="center"/>
    </xf>
    <xf numFmtId="1" fontId="26" fillId="0" borderId="2" xfId="0" applyNumberFormat="1" applyFont="1" applyFill="1" applyBorder="1" applyAlignment="1">
      <alignment horizontal="center" vertical="center"/>
    </xf>
    <xf numFmtId="0" fontId="26" fillId="0" borderId="2" xfId="4" applyFont="1" applyFill="1" applyBorder="1" applyAlignment="1">
      <alignment horizontal="center" vertical="center"/>
    </xf>
    <xf numFmtId="4" fontId="26" fillId="0" borderId="2" xfId="4" applyNumberFormat="1" applyFont="1" applyFill="1" applyBorder="1" applyAlignment="1">
      <alignment horizontal="center" vertical="center"/>
    </xf>
    <xf numFmtId="4" fontId="35" fillId="0" borderId="2" xfId="0" applyNumberFormat="1" applyFont="1" applyFill="1" applyBorder="1" applyAlignment="1">
      <alignment horizontal="center" vertical="center"/>
    </xf>
    <xf numFmtId="4" fontId="26" fillId="0" borderId="2" xfId="0" applyNumberFormat="1" applyFont="1" applyFill="1" applyBorder="1" applyAlignment="1">
      <alignment horizontal="center" vertical="center"/>
    </xf>
    <xf numFmtId="0" fontId="37" fillId="0" borderId="2" xfId="3" applyFont="1" applyFill="1" applyBorder="1" applyAlignment="1">
      <alignment horizontal="center" vertical="center"/>
    </xf>
    <xf numFmtId="171" fontId="35" fillId="0" borderId="2" xfId="0" applyNumberFormat="1" applyFont="1" applyFill="1" applyBorder="1" applyAlignment="1">
      <alignment horizontal="center" vertical="center"/>
    </xf>
    <xf numFmtId="1" fontId="35" fillId="0" borderId="2" xfId="0" applyNumberFormat="1" applyFont="1" applyFill="1" applyBorder="1" applyAlignment="1">
      <alignment horizontal="center" vertical="center"/>
    </xf>
  </cellXfs>
  <cellStyles count="9">
    <cellStyle name="Normal" xfId="0" builtinId="0"/>
    <cellStyle name="Normal 2" xfId="3"/>
    <cellStyle name="Normal 3" xfId="5"/>
    <cellStyle name="Normal 4" xfId="6"/>
    <cellStyle name="Normal 5" xfId="7"/>
    <cellStyle name="Normal 6" xfId="8"/>
    <cellStyle name="Normal_2016-07 Libros IVA CF" xfId="1"/>
    <cellStyle name="Normal_modelo" xfId="2"/>
    <cellStyle name="Normal_modelo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8"/>
  <sheetViews>
    <sheetView topLeftCell="A22" zoomScale="115" zoomScaleNormal="115" workbookViewId="0">
      <selection activeCell="F48" sqref="F48"/>
    </sheetView>
  </sheetViews>
  <sheetFormatPr baseColWidth="10" defaultColWidth="11.5546875" defaultRowHeight="14.4" x14ac:dyDescent="0.3"/>
  <cols>
    <col min="1" max="1" width="11.5546875" style="89" customWidth="1"/>
    <col min="2" max="3" width="15.88671875" style="89" customWidth="1"/>
    <col min="4" max="4" width="16.44140625" style="92" customWidth="1"/>
    <col min="5" max="5" width="42.109375" style="89" customWidth="1"/>
    <col min="6" max="6" width="21.109375" style="89" customWidth="1"/>
    <col min="7" max="7" width="14.6640625" style="89" customWidth="1"/>
    <col min="8" max="8" width="23" style="89" customWidth="1"/>
    <col min="9" max="9" width="17" style="90" customWidth="1"/>
    <col min="10" max="10" width="16.109375" style="89" customWidth="1"/>
    <col min="11" max="11" width="11.5546875" style="90" customWidth="1"/>
    <col min="12" max="16" width="11.5546875" style="89" customWidth="1"/>
    <col min="17" max="17" width="11.5546875" style="91" customWidth="1"/>
    <col min="18" max="18" width="15.77734375" style="91" customWidth="1"/>
    <col min="19" max="19" width="42.88671875" style="89" customWidth="1"/>
    <col min="20" max="20" width="32.6640625" style="89" customWidth="1"/>
    <col min="21" max="21" width="19.109375" style="89" bestFit="1" customWidth="1"/>
    <col min="22" max="22" width="13.33203125" style="89" bestFit="1" customWidth="1"/>
    <col min="23" max="16384" width="11.5546875" style="89"/>
  </cols>
  <sheetData>
    <row r="1" spans="1:25" ht="18.600000000000001" thickBot="1" x14ac:dyDescent="0.4">
      <c r="A1" s="267" t="s">
        <v>49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9"/>
      <c r="S1" s="145"/>
      <c r="T1" s="145"/>
      <c r="U1" s="145"/>
      <c r="V1" s="145"/>
      <c r="W1" s="145"/>
      <c r="X1" s="145"/>
      <c r="Y1" s="145"/>
    </row>
    <row r="2" spans="1:25" x14ac:dyDescent="0.3">
      <c r="D2" s="147"/>
      <c r="F2" s="146"/>
      <c r="H2" s="146"/>
      <c r="S2" s="145"/>
      <c r="T2" s="145"/>
      <c r="U2" s="145"/>
      <c r="V2" s="145"/>
      <c r="W2" s="145"/>
      <c r="X2" s="145"/>
      <c r="Y2" s="145"/>
    </row>
    <row r="3" spans="1:25" x14ac:dyDescent="0.3">
      <c r="A3" s="148" t="s">
        <v>50</v>
      </c>
      <c r="D3" s="154" t="s">
        <v>51</v>
      </c>
      <c r="F3" s="146"/>
      <c r="H3" s="146"/>
      <c r="Q3" s="153" t="s">
        <v>52</v>
      </c>
      <c r="R3" s="153"/>
      <c r="S3" s="145"/>
      <c r="T3" s="145"/>
      <c r="U3" s="145"/>
      <c r="V3" s="145"/>
      <c r="W3" s="145"/>
      <c r="X3" s="145"/>
      <c r="Y3" s="145"/>
    </row>
    <row r="4" spans="1:25" x14ac:dyDescent="0.3">
      <c r="A4" s="148" t="s">
        <v>53</v>
      </c>
      <c r="D4" s="147"/>
      <c r="F4" s="146"/>
      <c r="H4" s="146"/>
      <c r="S4" s="145"/>
      <c r="T4" s="145"/>
      <c r="U4" s="145"/>
      <c r="V4" s="145"/>
      <c r="W4" s="145"/>
      <c r="X4" s="145"/>
      <c r="Y4" s="145"/>
    </row>
    <row r="5" spans="1:25" x14ac:dyDescent="0.3">
      <c r="A5" s="148" t="s">
        <v>70</v>
      </c>
      <c r="B5" s="152"/>
      <c r="C5" s="152"/>
      <c r="D5" s="147"/>
      <c r="F5" s="146"/>
      <c r="K5" s="150"/>
      <c r="L5" s="149"/>
      <c r="S5" s="145"/>
      <c r="T5" s="145"/>
      <c r="U5" s="145"/>
      <c r="V5" s="145"/>
      <c r="W5" s="145"/>
      <c r="X5" s="145"/>
      <c r="Y5" s="145"/>
    </row>
    <row r="6" spans="1:25" x14ac:dyDescent="0.3">
      <c r="A6" s="148"/>
      <c r="B6" s="152"/>
      <c r="C6" s="152"/>
      <c r="D6" s="147"/>
      <c r="E6" s="151"/>
      <c r="F6" s="146"/>
      <c r="G6" s="151"/>
      <c r="H6" s="151"/>
      <c r="S6" s="145"/>
      <c r="T6" s="145"/>
      <c r="U6" s="145"/>
      <c r="V6" s="145"/>
      <c r="W6" s="145"/>
      <c r="X6" s="145"/>
    </row>
    <row r="7" spans="1:25" s="191" customFormat="1" x14ac:dyDescent="0.3">
      <c r="A7" s="233" t="s">
        <v>4</v>
      </c>
      <c r="B7" s="233" t="s">
        <v>5</v>
      </c>
      <c r="C7" s="233" t="s">
        <v>6</v>
      </c>
      <c r="D7" s="234" t="s">
        <v>54</v>
      </c>
      <c r="E7" s="233" t="s">
        <v>55</v>
      </c>
      <c r="F7" s="233" t="s">
        <v>56</v>
      </c>
      <c r="G7" s="233" t="s">
        <v>57</v>
      </c>
      <c r="H7" s="233" t="s">
        <v>58</v>
      </c>
      <c r="I7" s="235" t="s">
        <v>59</v>
      </c>
      <c r="J7" s="233" t="s">
        <v>60</v>
      </c>
      <c r="K7" s="233" t="s">
        <v>61</v>
      </c>
      <c r="L7" s="233" t="s">
        <v>62</v>
      </c>
      <c r="M7" s="233" t="s">
        <v>63</v>
      </c>
      <c r="N7" s="233" t="s">
        <v>64</v>
      </c>
      <c r="O7" s="233" t="s">
        <v>65</v>
      </c>
      <c r="P7" s="233" t="s">
        <v>66</v>
      </c>
      <c r="Q7" s="233" t="s">
        <v>67</v>
      </c>
      <c r="R7" s="233" t="s">
        <v>14</v>
      </c>
      <c r="S7" s="190"/>
      <c r="T7" s="190"/>
      <c r="U7" s="190"/>
      <c r="V7" s="190"/>
      <c r="W7" s="190"/>
      <c r="X7" s="190"/>
      <c r="Y7" s="190"/>
    </row>
    <row r="8" spans="1:25" s="191" customFormat="1" x14ac:dyDescent="0.3">
      <c r="A8" s="285">
        <v>46185</v>
      </c>
      <c r="B8" s="263" t="s">
        <v>80</v>
      </c>
      <c r="C8" s="264">
        <v>9</v>
      </c>
      <c r="D8" s="265">
        <v>16273</v>
      </c>
      <c r="E8" s="263" t="s">
        <v>77</v>
      </c>
      <c r="F8" s="286" t="s">
        <v>78</v>
      </c>
      <c r="G8" s="287" t="s">
        <v>68</v>
      </c>
      <c r="H8" s="286" t="s">
        <v>71</v>
      </c>
      <c r="I8" s="287"/>
      <c r="J8" s="287">
        <v>29293.41</v>
      </c>
      <c r="K8" s="288"/>
      <c r="L8" s="288">
        <f t="shared" ref="L8" si="0">J8*0.21</f>
        <v>6151.6161000000002</v>
      </c>
      <c r="M8" s="288"/>
      <c r="N8" s="288"/>
      <c r="O8" s="289"/>
      <c r="P8" s="288"/>
      <c r="Q8" s="288">
        <v>4554.91</v>
      </c>
      <c r="R8" s="289">
        <f t="shared" ref="R8" si="1">SUM(J8:Q8)</f>
        <v>39999.936100000006</v>
      </c>
    </row>
    <row r="9" spans="1:25" s="191" customFormat="1" x14ac:dyDescent="0.3">
      <c r="A9" s="285">
        <v>46185</v>
      </c>
      <c r="B9" s="263" t="s">
        <v>80</v>
      </c>
      <c r="C9" s="264">
        <v>85</v>
      </c>
      <c r="D9" s="265">
        <v>92607</v>
      </c>
      <c r="E9" s="263" t="s">
        <v>72</v>
      </c>
      <c r="F9" s="286" t="s">
        <v>73</v>
      </c>
      <c r="G9" s="287" t="s">
        <v>68</v>
      </c>
      <c r="H9" s="286" t="s">
        <v>71</v>
      </c>
      <c r="I9" s="287"/>
      <c r="J9" s="263">
        <v>14551.2</v>
      </c>
      <c r="K9" s="290"/>
      <c r="L9" s="288">
        <f>J9*0.21</f>
        <v>3055.752</v>
      </c>
      <c r="M9" s="288"/>
      <c r="N9" s="288"/>
      <c r="O9" s="289"/>
      <c r="P9" s="288"/>
      <c r="Q9" s="288">
        <v>2414.4499999999998</v>
      </c>
      <c r="R9" s="289">
        <f>SUM(J9:Q9)</f>
        <v>20021.402000000002</v>
      </c>
      <c r="S9" s="190"/>
      <c r="T9" s="190"/>
      <c r="U9" s="190"/>
      <c r="V9" s="190"/>
      <c r="W9" s="190"/>
      <c r="X9" s="190"/>
      <c r="Y9" s="190"/>
    </row>
    <row r="10" spans="1:25" s="191" customFormat="1" x14ac:dyDescent="0.3">
      <c r="A10" s="285">
        <v>46176</v>
      </c>
      <c r="B10" s="263" t="s">
        <v>80</v>
      </c>
      <c r="C10" s="264">
        <v>93</v>
      </c>
      <c r="D10" s="265">
        <v>7889</v>
      </c>
      <c r="E10" s="263" t="s">
        <v>72</v>
      </c>
      <c r="F10" s="286" t="s">
        <v>73</v>
      </c>
      <c r="G10" s="287" t="s">
        <v>68</v>
      </c>
      <c r="H10" s="286" t="s">
        <v>71</v>
      </c>
      <c r="I10" s="287"/>
      <c r="J10" s="263">
        <v>14533.32</v>
      </c>
      <c r="K10" s="290"/>
      <c r="L10" s="288">
        <f>J10*0.21</f>
        <v>3051.9971999999998</v>
      </c>
      <c r="M10" s="288"/>
      <c r="N10" s="288"/>
      <c r="O10" s="289"/>
      <c r="P10" s="288"/>
      <c r="Q10" s="288">
        <v>2414.4499999999998</v>
      </c>
      <c r="R10" s="289">
        <f>SUM(J10:Q10)</f>
        <v>19999.767199999998</v>
      </c>
      <c r="S10" s="190"/>
      <c r="T10" s="190"/>
      <c r="U10" s="190"/>
      <c r="V10" s="190"/>
      <c r="W10" s="190"/>
      <c r="X10" s="190"/>
      <c r="Y10" s="190"/>
    </row>
    <row r="11" spans="1:25" s="191" customFormat="1" x14ac:dyDescent="0.3">
      <c r="A11" s="285">
        <v>46176</v>
      </c>
      <c r="B11" s="263" t="s">
        <v>80</v>
      </c>
      <c r="C11" s="264">
        <v>85</v>
      </c>
      <c r="D11" s="265">
        <v>93033</v>
      </c>
      <c r="E11" s="263" t="s">
        <v>72</v>
      </c>
      <c r="F11" s="286" t="s">
        <v>73</v>
      </c>
      <c r="G11" s="287" t="s">
        <v>68</v>
      </c>
      <c r="H11" s="286" t="s">
        <v>71</v>
      </c>
      <c r="I11" s="287"/>
      <c r="J11" s="263">
        <v>20000</v>
      </c>
      <c r="K11" s="290"/>
      <c r="L11" s="288">
        <f t="shared" ref="L11:L23" si="2">J11*0.21</f>
        <v>4200</v>
      </c>
      <c r="M11" s="288"/>
      <c r="N11" s="288"/>
      <c r="O11" s="289"/>
      <c r="P11" s="288"/>
      <c r="Q11" s="288">
        <v>2403.5</v>
      </c>
      <c r="R11" s="289">
        <f>SUM(J11:Q11)</f>
        <v>26603.5</v>
      </c>
      <c r="S11" s="190"/>
      <c r="T11" s="190"/>
      <c r="U11" s="190"/>
      <c r="V11" s="190"/>
      <c r="W11" s="190"/>
      <c r="X11" s="190"/>
      <c r="Y11" s="190"/>
    </row>
    <row r="12" spans="1:25" s="191" customFormat="1" x14ac:dyDescent="0.3">
      <c r="A12" s="285">
        <v>46192</v>
      </c>
      <c r="B12" s="263" t="s">
        <v>80</v>
      </c>
      <c r="C12" s="264">
        <v>85</v>
      </c>
      <c r="D12" s="265">
        <v>93109</v>
      </c>
      <c r="E12" s="263" t="s">
        <v>72</v>
      </c>
      <c r="F12" s="286" t="s">
        <v>73</v>
      </c>
      <c r="G12" s="287" t="s">
        <v>68</v>
      </c>
      <c r="H12" s="286" t="s">
        <v>71</v>
      </c>
      <c r="I12" s="287"/>
      <c r="J12" s="263">
        <v>49999.89</v>
      </c>
      <c r="K12" s="290"/>
      <c r="L12" s="288">
        <f t="shared" si="2"/>
        <v>10499.9769</v>
      </c>
      <c r="M12" s="288"/>
      <c r="N12" s="288"/>
      <c r="O12" s="289"/>
      <c r="P12" s="288"/>
      <c r="Q12" s="288">
        <v>7119.29</v>
      </c>
      <c r="R12" s="289">
        <f>SUM(J12:Q12)</f>
        <v>67619.156900000002</v>
      </c>
      <c r="S12" s="190"/>
      <c r="T12" s="190"/>
      <c r="U12" s="190"/>
      <c r="V12" s="190"/>
      <c r="W12" s="190"/>
      <c r="X12" s="190"/>
      <c r="Y12" s="190"/>
    </row>
    <row r="13" spans="1:25" s="191" customFormat="1" x14ac:dyDescent="0.3">
      <c r="A13" s="285">
        <v>46196</v>
      </c>
      <c r="B13" s="263" t="s">
        <v>80</v>
      </c>
      <c r="C13" s="264">
        <v>79</v>
      </c>
      <c r="D13" s="265">
        <v>72619</v>
      </c>
      <c r="E13" s="263" t="s">
        <v>72</v>
      </c>
      <c r="F13" s="286" t="s">
        <v>73</v>
      </c>
      <c r="G13" s="287" t="s">
        <v>68</v>
      </c>
      <c r="H13" s="286" t="s">
        <v>71</v>
      </c>
      <c r="I13" s="287"/>
      <c r="J13" s="263">
        <v>40032.080000000002</v>
      </c>
      <c r="K13" s="290"/>
      <c r="L13" s="288">
        <f t="shared" ref="L13:L18" si="3">J13*0.21</f>
        <v>8406.7368000000006</v>
      </c>
      <c r="M13" s="288"/>
      <c r="N13" s="288"/>
      <c r="O13" s="289"/>
      <c r="P13" s="288"/>
      <c r="Q13" s="288">
        <v>4821.24</v>
      </c>
      <c r="R13" s="289">
        <f>SUM(J13:Q13)</f>
        <v>53260.056799999998</v>
      </c>
      <c r="S13" s="190"/>
      <c r="T13" s="190"/>
      <c r="U13" s="190"/>
      <c r="V13" s="190"/>
      <c r="W13" s="190"/>
      <c r="X13" s="190"/>
      <c r="Y13" s="190"/>
    </row>
    <row r="14" spans="1:25" s="191" customFormat="1" x14ac:dyDescent="0.3">
      <c r="A14" s="285">
        <v>46198</v>
      </c>
      <c r="B14" s="263" t="s">
        <v>80</v>
      </c>
      <c r="C14" s="264">
        <v>85</v>
      </c>
      <c r="D14" s="265">
        <v>93537</v>
      </c>
      <c r="E14" s="263" t="s">
        <v>72</v>
      </c>
      <c r="F14" s="286" t="s">
        <v>73</v>
      </c>
      <c r="G14" s="287" t="s">
        <v>68</v>
      </c>
      <c r="H14" s="286" t="s">
        <v>71</v>
      </c>
      <c r="I14" s="287"/>
      <c r="J14" s="263">
        <v>29069.68</v>
      </c>
      <c r="K14" s="290"/>
      <c r="L14" s="288">
        <f t="shared" ref="L14" si="4">J14*0.21</f>
        <v>6104.6327999999994</v>
      </c>
      <c r="M14" s="288"/>
      <c r="N14" s="288"/>
      <c r="O14" s="289"/>
      <c r="P14" s="288"/>
      <c r="Q14" s="288">
        <v>4825.8900000000003</v>
      </c>
      <c r="R14" s="289">
        <f>SUM(J14:Q14)</f>
        <v>40000.202799999999</v>
      </c>
      <c r="S14" s="190"/>
      <c r="T14" s="190"/>
      <c r="U14" s="190"/>
      <c r="V14" s="190"/>
      <c r="W14" s="190"/>
      <c r="X14" s="190"/>
      <c r="Y14" s="190"/>
    </row>
    <row r="15" spans="1:25" s="191" customFormat="1" x14ac:dyDescent="0.3">
      <c r="A15" s="285">
        <v>46196</v>
      </c>
      <c r="B15" s="263" t="s">
        <v>80</v>
      </c>
      <c r="C15" s="264">
        <v>85</v>
      </c>
      <c r="D15" s="265">
        <v>93345</v>
      </c>
      <c r="E15" s="263" t="s">
        <v>72</v>
      </c>
      <c r="F15" s="286" t="s">
        <v>73</v>
      </c>
      <c r="G15" s="287" t="s">
        <v>68</v>
      </c>
      <c r="H15" s="286" t="s">
        <v>71</v>
      </c>
      <c r="I15" s="287"/>
      <c r="J15" s="263">
        <v>14547.78</v>
      </c>
      <c r="K15" s="290"/>
      <c r="L15" s="288">
        <f t="shared" ref="L15" si="5">J15*0.21</f>
        <v>3055.0338000000002</v>
      </c>
      <c r="M15" s="288"/>
      <c r="N15" s="288"/>
      <c r="O15" s="289"/>
      <c r="P15" s="288"/>
      <c r="Q15" s="288">
        <v>2410.2600000000002</v>
      </c>
      <c r="R15" s="289">
        <f>SUM(J15:Q15)</f>
        <v>20013.073799999998</v>
      </c>
      <c r="S15" s="190"/>
      <c r="T15" s="190"/>
      <c r="U15" s="190"/>
      <c r="V15" s="190"/>
      <c r="W15" s="190"/>
      <c r="X15" s="190"/>
      <c r="Y15" s="190"/>
    </row>
    <row r="16" spans="1:25" s="191" customFormat="1" x14ac:dyDescent="0.3">
      <c r="A16" s="285">
        <v>46202</v>
      </c>
      <c r="B16" s="263" t="s">
        <v>80</v>
      </c>
      <c r="C16" s="264">
        <v>28</v>
      </c>
      <c r="D16" s="265">
        <v>22798</v>
      </c>
      <c r="E16" s="291" t="s">
        <v>120</v>
      </c>
      <c r="F16" s="263" t="s">
        <v>88</v>
      </c>
      <c r="G16" s="287"/>
      <c r="H16" s="286"/>
      <c r="I16" s="287"/>
      <c r="J16" s="263">
        <v>35359.620000000003</v>
      </c>
      <c r="K16" s="290"/>
      <c r="L16" s="288">
        <f t="shared" si="3"/>
        <v>7425.5201999999999</v>
      </c>
      <c r="M16" s="288"/>
      <c r="N16" s="288"/>
      <c r="O16" s="289"/>
      <c r="P16" s="288"/>
      <c r="Q16" s="288">
        <v>6798.8</v>
      </c>
      <c r="R16" s="289"/>
      <c r="S16" s="190"/>
      <c r="T16" s="190"/>
      <c r="U16" s="190"/>
      <c r="V16" s="190"/>
      <c r="W16" s="190"/>
      <c r="X16" s="190"/>
      <c r="Y16" s="190"/>
    </row>
    <row r="17" spans="1:25" s="191" customFormat="1" x14ac:dyDescent="0.3">
      <c r="A17" s="292">
        <v>46185</v>
      </c>
      <c r="B17" s="263" t="s">
        <v>80</v>
      </c>
      <c r="C17" s="264">
        <v>19</v>
      </c>
      <c r="D17" s="265">
        <v>11515</v>
      </c>
      <c r="E17" s="263" t="s">
        <v>75</v>
      </c>
      <c r="F17" s="286" t="s">
        <v>76</v>
      </c>
      <c r="G17" s="287" t="s">
        <v>68</v>
      </c>
      <c r="H17" s="286" t="s">
        <v>71</v>
      </c>
      <c r="I17" s="287"/>
      <c r="J17" s="287">
        <v>29293.41</v>
      </c>
      <c r="K17" s="288"/>
      <c r="L17" s="288">
        <f t="shared" si="3"/>
        <v>6151.6161000000002</v>
      </c>
      <c r="M17" s="289"/>
      <c r="N17" s="289"/>
      <c r="O17" s="289"/>
      <c r="P17" s="289"/>
      <c r="Q17" s="288">
        <v>4554.91</v>
      </c>
      <c r="R17" s="289">
        <f t="shared" ref="R17" si="6">SUM(J17:Q17)</f>
        <v>39999.936100000006</v>
      </c>
      <c r="S17" s="190"/>
      <c r="T17" s="190"/>
      <c r="U17" s="190"/>
      <c r="V17" s="190"/>
      <c r="W17" s="190"/>
      <c r="X17" s="190"/>
      <c r="Y17" s="190"/>
    </row>
    <row r="18" spans="1:25" s="191" customFormat="1" x14ac:dyDescent="0.3">
      <c r="A18" s="292">
        <v>46184</v>
      </c>
      <c r="B18" s="263" t="s">
        <v>80</v>
      </c>
      <c r="C18" s="264">
        <v>19</v>
      </c>
      <c r="D18" s="265">
        <v>11496</v>
      </c>
      <c r="E18" s="263" t="s">
        <v>75</v>
      </c>
      <c r="F18" s="286" t="s">
        <v>76</v>
      </c>
      <c r="G18" s="287" t="s">
        <v>68</v>
      </c>
      <c r="H18" s="286" t="s">
        <v>71</v>
      </c>
      <c r="I18" s="287"/>
      <c r="J18" s="287">
        <v>43936.61</v>
      </c>
      <c r="K18" s="288"/>
      <c r="L18" s="288">
        <f t="shared" si="3"/>
        <v>9226.6880999999994</v>
      </c>
      <c r="M18" s="289"/>
      <c r="N18" s="289"/>
      <c r="O18" s="289"/>
      <c r="P18" s="289"/>
      <c r="Q18" s="288">
        <v>6831.82</v>
      </c>
      <c r="R18" s="289">
        <f t="shared" ref="R18" si="7">SUM(J18:Q18)</f>
        <v>59995.1181</v>
      </c>
      <c r="S18" s="190"/>
      <c r="T18" s="190"/>
      <c r="U18" s="190"/>
      <c r="V18" s="190"/>
      <c r="W18" s="190"/>
      <c r="X18" s="190"/>
      <c r="Y18" s="190"/>
    </row>
    <row r="19" spans="1:25" s="191" customFormat="1" x14ac:dyDescent="0.3">
      <c r="A19" s="292">
        <v>46182</v>
      </c>
      <c r="B19" s="263" t="s">
        <v>80</v>
      </c>
      <c r="C19" s="264">
        <v>19</v>
      </c>
      <c r="D19" s="265">
        <v>11439</v>
      </c>
      <c r="E19" s="263" t="s">
        <v>75</v>
      </c>
      <c r="F19" s="286" t="s">
        <v>76</v>
      </c>
      <c r="G19" s="287" t="s">
        <v>68</v>
      </c>
      <c r="H19" s="286" t="s">
        <v>71</v>
      </c>
      <c r="I19" s="287"/>
      <c r="J19" s="287">
        <v>65910.31</v>
      </c>
      <c r="K19" s="288"/>
      <c r="L19" s="288">
        <f t="shared" si="2"/>
        <v>13841.165099999998</v>
      </c>
      <c r="M19" s="289"/>
      <c r="N19" s="289"/>
      <c r="O19" s="289"/>
      <c r="P19" s="289"/>
      <c r="Q19" s="288">
        <v>10248.57</v>
      </c>
      <c r="R19" s="289">
        <f t="shared" ref="R19" si="8">SUM(J19:Q19)</f>
        <v>90000.045099999988</v>
      </c>
      <c r="S19" s="190"/>
      <c r="T19" s="190"/>
      <c r="U19" s="190"/>
      <c r="V19" s="190"/>
      <c r="W19" s="190"/>
      <c r="X19" s="190"/>
      <c r="Y19" s="190"/>
    </row>
    <row r="20" spans="1:25" s="191" customFormat="1" x14ac:dyDescent="0.3">
      <c r="A20" s="292">
        <v>46199</v>
      </c>
      <c r="B20" s="263" t="s">
        <v>80</v>
      </c>
      <c r="C20" s="264">
        <v>19</v>
      </c>
      <c r="D20" s="265">
        <v>11801</v>
      </c>
      <c r="E20" s="263" t="s">
        <v>75</v>
      </c>
      <c r="F20" s="286" t="s">
        <v>76</v>
      </c>
      <c r="G20" s="287" t="s">
        <v>68</v>
      </c>
      <c r="H20" s="286" t="s">
        <v>71</v>
      </c>
      <c r="I20" s="287"/>
      <c r="J20" s="287">
        <v>29293.41</v>
      </c>
      <c r="K20" s="288"/>
      <c r="L20" s="288">
        <f t="shared" ref="L20" si="9">J20*0.21</f>
        <v>6151.6161000000002</v>
      </c>
      <c r="M20" s="289"/>
      <c r="N20" s="289"/>
      <c r="O20" s="289"/>
      <c r="P20" s="289"/>
      <c r="Q20" s="288">
        <v>4554.91</v>
      </c>
      <c r="R20" s="289">
        <f t="shared" ref="R20" si="10">SUM(J20:Q20)</f>
        <v>39999.936100000006</v>
      </c>
      <c r="S20" s="190"/>
      <c r="T20" s="190"/>
      <c r="U20" s="190"/>
      <c r="V20" s="190"/>
      <c r="W20" s="190"/>
      <c r="X20" s="190"/>
      <c r="Y20" s="190"/>
    </row>
    <row r="21" spans="1:25" s="191" customFormat="1" x14ac:dyDescent="0.3">
      <c r="A21" s="292">
        <v>46202</v>
      </c>
      <c r="B21" s="263" t="s">
        <v>80</v>
      </c>
      <c r="C21" s="264">
        <v>28</v>
      </c>
      <c r="D21" s="265">
        <v>22798</v>
      </c>
      <c r="E21" s="263" t="s">
        <v>87</v>
      </c>
      <c r="F21" s="286" t="s">
        <v>88</v>
      </c>
      <c r="G21" s="287" t="s">
        <v>68</v>
      </c>
      <c r="H21" s="286" t="s">
        <v>71</v>
      </c>
      <c r="I21" s="287"/>
      <c r="J21" s="263"/>
      <c r="K21" s="288"/>
      <c r="L21" s="288">
        <f t="shared" si="2"/>
        <v>0</v>
      </c>
      <c r="M21" s="288"/>
      <c r="N21" s="288"/>
      <c r="O21" s="288"/>
      <c r="P21" s="288"/>
      <c r="Q21" s="288"/>
      <c r="R21" s="289">
        <f t="shared" ref="R21:R30" si="11">SUM(J21:Q21)</f>
        <v>0</v>
      </c>
    </row>
    <row r="22" spans="1:25" s="191" customFormat="1" x14ac:dyDescent="0.3">
      <c r="A22" s="292" t="s">
        <v>113</v>
      </c>
      <c r="B22" s="263" t="s">
        <v>80</v>
      </c>
      <c r="C22" s="264">
        <v>494</v>
      </c>
      <c r="D22" s="265">
        <v>1</v>
      </c>
      <c r="E22" s="263" t="s">
        <v>83</v>
      </c>
      <c r="F22" s="286" t="s">
        <v>84</v>
      </c>
      <c r="G22" s="287" t="s">
        <v>68</v>
      </c>
      <c r="H22" s="286" t="s">
        <v>85</v>
      </c>
      <c r="I22" s="287"/>
      <c r="J22" s="287">
        <v>234252</v>
      </c>
      <c r="K22" s="288"/>
      <c r="L22" s="288">
        <f t="shared" si="2"/>
        <v>49192.92</v>
      </c>
      <c r="M22" s="288"/>
      <c r="N22" s="288"/>
      <c r="O22" s="288"/>
      <c r="P22" s="288"/>
      <c r="Q22" s="288">
        <v>11244.1</v>
      </c>
      <c r="R22" s="289">
        <v>67742.399999999994</v>
      </c>
    </row>
    <row r="23" spans="1:25" s="191" customFormat="1" x14ac:dyDescent="0.3">
      <c r="A23" s="292" t="s">
        <v>90</v>
      </c>
      <c r="B23" s="263" t="s">
        <v>80</v>
      </c>
      <c r="C23" s="264">
        <v>454</v>
      </c>
      <c r="D23" s="265">
        <v>4</v>
      </c>
      <c r="E23" s="263" t="s">
        <v>83</v>
      </c>
      <c r="F23" s="286" t="s">
        <v>84</v>
      </c>
      <c r="G23" s="287" t="s">
        <v>68</v>
      </c>
      <c r="H23" s="286" t="s">
        <v>85</v>
      </c>
      <c r="I23" s="287"/>
      <c r="J23" s="263">
        <v>56000</v>
      </c>
      <c r="K23" s="288"/>
      <c r="L23" s="288">
        <f t="shared" si="2"/>
        <v>11760</v>
      </c>
      <c r="M23" s="288"/>
      <c r="N23" s="288"/>
      <c r="O23" s="288"/>
      <c r="P23" s="288"/>
      <c r="Q23" s="288">
        <v>2688</v>
      </c>
      <c r="R23" s="289">
        <f t="shared" si="11"/>
        <v>70448</v>
      </c>
    </row>
    <row r="24" spans="1:25" s="191" customFormat="1" x14ac:dyDescent="0.3">
      <c r="A24" s="292" t="s">
        <v>114</v>
      </c>
      <c r="B24" s="263" t="s">
        <v>80</v>
      </c>
      <c r="C24" s="264">
        <v>454</v>
      </c>
      <c r="D24" s="265">
        <v>8</v>
      </c>
      <c r="E24" s="263" t="s">
        <v>83</v>
      </c>
      <c r="F24" s="286" t="s">
        <v>84</v>
      </c>
      <c r="G24" s="287" t="s">
        <v>68</v>
      </c>
      <c r="H24" s="286" t="s">
        <v>85</v>
      </c>
      <c r="I24" s="287"/>
      <c r="J24" s="263">
        <v>65600</v>
      </c>
      <c r="K24" s="288"/>
      <c r="L24" s="288">
        <f t="shared" ref="L24:L30" si="12">J24*0.21</f>
        <v>13776</v>
      </c>
      <c r="M24" s="288"/>
      <c r="N24" s="288"/>
      <c r="O24" s="288"/>
      <c r="P24" s="288"/>
      <c r="Q24" s="288">
        <v>3148.8</v>
      </c>
      <c r="R24" s="289">
        <f t="shared" si="11"/>
        <v>82524.800000000003</v>
      </c>
    </row>
    <row r="25" spans="1:25" s="191" customFormat="1" x14ac:dyDescent="0.3">
      <c r="A25" s="292" t="s">
        <v>94</v>
      </c>
      <c r="B25" s="263" t="s">
        <v>80</v>
      </c>
      <c r="C25" s="264">
        <v>494</v>
      </c>
      <c r="D25" s="265">
        <v>14</v>
      </c>
      <c r="E25" s="263" t="s">
        <v>83</v>
      </c>
      <c r="F25" s="286" t="s">
        <v>84</v>
      </c>
      <c r="G25" s="287" t="s">
        <v>68</v>
      </c>
      <c r="H25" s="286" t="s">
        <v>85</v>
      </c>
      <c r="I25" s="287"/>
      <c r="J25" s="263">
        <v>26560</v>
      </c>
      <c r="K25" s="288"/>
      <c r="L25" s="288">
        <f t="shared" si="12"/>
        <v>5577.5999999999995</v>
      </c>
      <c r="M25" s="288"/>
      <c r="N25" s="288"/>
      <c r="O25" s="288"/>
      <c r="P25" s="288"/>
      <c r="Q25" s="288">
        <v>1274.8800000000001</v>
      </c>
      <c r="R25" s="289">
        <f t="shared" si="11"/>
        <v>33412.479999999996</v>
      </c>
    </row>
    <row r="26" spans="1:25" s="191" customFormat="1" x14ac:dyDescent="0.3">
      <c r="A26" s="263" t="s">
        <v>96</v>
      </c>
      <c r="B26" s="263" t="s">
        <v>80</v>
      </c>
      <c r="C26" s="264">
        <v>454</v>
      </c>
      <c r="D26" s="265">
        <v>31</v>
      </c>
      <c r="E26" s="263" t="s">
        <v>83</v>
      </c>
      <c r="F26" s="286" t="s">
        <v>84</v>
      </c>
      <c r="G26" s="287" t="s">
        <v>68</v>
      </c>
      <c r="H26" s="286" t="s">
        <v>85</v>
      </c>
      <c r="I26" s="287"/>
      <c r="J26" s="263">
        <v>58800</v>
      </c>
      <c r="K26" s="288"/>
      <c r="L26" s="288">
        <f t="shared" si="12"/>
        <v>12348</v>
      </c>
      <c r="M26" s="288"/>
      <c r="N26" s="288"/>
      <c r="O26" s="288"/>
      <c r="P26" s="288"/>
      <c r="Q26" s="288">
        <v>2822.4</v>
      </c>
      <c r="R26" s="289">
        <f t="shared" si="11"/>
        <v>73970.399999999994</v>
      </c>
    </row>
    <row r="27" spans="1:25" s="191" customFormat="1" x14ac:dyDescent="0.3">
      <c r="A27" s="263" t="s">
        <v>99</v>
      </c>
      <c r="B27" s="263" t="s">
        <v>80</v>
      </c>
      <c r="C27" s="264">
        <v>494</v>
      </c>
      <c r="D27" s="265">
        <v>26</v>
      </c>
      <c r="E27" s="263" t="s">
        <v>83</v>
      </c>
      <c r="F27" s="286" t="s">
        <v>84</v>
      </c>
      <c r="G27" s="287" t="s">
        <v>68</v>
      </c>
      <c r="H27" s="286" t="s">
        <v>85</v>
      </c>
      <c r="I27" s="287"/>
      <c r="J27" s="263">
        <v>176412</v>
      </c>
      <c r="K27" s="288"/>
      <c r="L27" s="288">
        <f t="shared" si="12"/>
        <v>37046.519999999997</v>
      </c>
      <c r="M27" s="288"/>
      <c r="N27" s="288"/>
      <c r="O27" s="288"/>
      <c r="P27" s="288"/>
      <c r="Q27" s="288">
        <v>8467.7800000000007</v>
      </c>
      <c r="R27" s="289">
        <f t="shared" si="11"/>
        <v>221926.3</v>
      </c>
    </row>
    <row r="28" spans="1:25" s="191" customFormat="1" x14ac:dyDescent="0.3">
      <c r="A28" s="263" t="s">
        <v>101</v>
      </c>
      <c r="B28" s="263" t="s">
        <v>80</v>
      </c>
      <c r="C28" s="264">
        <v>454</v>
      </c>
      <c r="D28" s="265">
        <v>38</v>
      </c>
      <c r="E28" s="263" t="s">
        <v>83</v>
      </c>
      <c r="F28" s="286" t="s">
        <v>84</v>
      </c>
      <c r="G28" s="287" t="s">
        <v>68</v>
      </c>
      <c r="H28" s="286" t="s">
        <v>85</v>
      </c>
      <c r="I28" s="287"/>
      <c r="J28" s="263">
        <v>54400</v>
      </c>
      <c r="K28" s="288"/>
      <c r="L28" s="288">
        <f t="shared" si="12"/>
        <v>11424</v>
      </c>
      <c r="M28" s="288"/>
      <c r="N28" s="288"/>
      <c r="O28" s="288"/>
      <c r="P28" s="288"/>
      <c r="Q28" s="288">
        <v>2611.1999999999998</v>
      </c>
      <c r="R28" s="289">
        <f t="shared" si="11"/>
        <v>68435.199999999997</v>
      </c>
    </row>
    <row r="29" spans="1:25" s="191" customFormat="1" x14ac:dyDescent="0.3">
      <c r="A29" s="263" t="s">
        <v>105</v>
      </c>
      <c r="B29" s="263" t="s">
        <v>80</v>
      </c>
      <c r="C29" s="264">
        <v>454</v>
      </c>
      <c r="D29" s="265">
        <v>68</v>
      </c>
      <c r="E29" s="263" t="s">
        <v>83</v>
      </c>
      <c r="F29" s="286" t="s">
        <v>84</v>
      </c>
      <c r="G29" s="287" t="s">
        <v>68</v>
      </c>
      <c r="H29" s="286" t="s">
        <v>85</v>
      </c>
      <c r="I29" s="287"/>
      <c r="J29" s="263">
        <v>60000</v>
      </c>
      <c r="K29" s="288"/>
      <c r="L29" s="288">
        <f t="shared" si="12"/>
        <v>12600</v>
      </c>
      <c r="M29" s="288"/>
      <c r="N29" s="288"/>
      <c r="O29" s="288"/>
      <c r="P29" s="288"/>
      <c r="Q29" s="288">
        <v>2880</v>
      </c>
      <c r="R29" s="289">
        <f t="shared" si="11"/>
        <v>75480</v>
      </c>
    </row>
    <row r="30" spans="1:25" s="191" customFormat="1" x14ac:dyDescent="0.3">
      <c r="A30" s="263" t="s">
        <v>107</v>
      </c>
      <c r="B30" s="263" t="s">
        <v>80</v>
      </c>
      <c r="C30" s="264">
        <v>494</v>
      </c>
      <c r="D30" s="265">
        <v>39</v>
      </c>
      <c r="E30" s="263" t="s">
        <v>83</v>
      </c>
      <c r="F30" s="286" t="s">
        <v>84</v>
      </c>
      <c r="G30" s="287" t="s">
        <v>68</v>
      </c>
      <c r="H30" s="286" t="s">
        <v>85</v>
      </c>
      <c r="I30" s="287"/>
      <c r="J30" s="263">
        <v>146660</v>
      </c>
      <c r="K30" s="288"/>
      <c r="L30" s="288">
        <f t="shared" si="12"/>
        <v>30798.6</v>
      </c>
      <c r="M30" s="288"/>
      <c r="N30" s="288"/>
      <c r="O30" s="288"/>
      <c r="P30" s="288"/>
      <c r="Q30" s="288">
        <v>7039.68</v>
      </c>
      <c r="R30" s="289">
        <f t="shared" si="11"/>
        <v>184498.28</v>
      </c>
    </row>
    <row r="31" spans="1:25" s="191" customFormat="1" x14ac:dyDescent="0.3">
      <c r="A31" s="263" t="s">
        <v>111</v>
      </c>
      <c r="B31" s="263" t="s">
        <v>80</v>
      </c>
      <c r="C31" s="264">
        <v>454</v>
      </c>
      <c r="D31" s="265">
        <v>93</v>
      </c>
      <c r="E31" s="263" t="s">
        <v>83</v>
      </c>
      <c r="F31" s="286" t="s">
        <v>84</v>
      </c>
      <c r="G31" s="287" t="s">
        <v>68</v>
      </c>
      <c r="H31" s="286" t="s">
        <v>85</v>
      </c>
      <c r="I31" s="287"/>
      <c r="J31" s="263">
        <v>55200</v>
      </c>
      <c r="K31" s="288"/>
      <c r="L31" s="288">
        <f t="shared" ref="L31:L47" si="13">J31*0.21</f>
        <v>11592</v>
      </c>
      <c r="M31" s="288"/>
      <c r="N31" s="288"/>
      <c r="O31" s="288"/>
      <c r="P31" s="288"/>
      <c r="Q31" s="288">
        <v>2649.6</v>
      </c>
      <c r="R31" s="289">
        <f t="shared" ref="R31:R47" si="14">SUM(J31:Q31)</f>
        <v>69441.600000000006</v>
      </c>
    </row>
    <row r="32" spans="1:25" s="191" customFormat="1" x14ac:dyDescent="0.3">
      <c r="A32" s="263" t="s">
        <v>111</v>
      </c>
      <c r="B32" s="263" t="s">
        <v>80</v>
      </c>
      <c r="C32" s="264">
        <v>3</v>
      </c>
      <c r="D32" s="265">
        <v>198</v>
      </c>
      <c r="E32" s="263" t="s">
        <v>115</v>
      </c>
      <c r="F32" s="293" t="s">
        <v>116</v>
      </c>
      <c r="G32" s="287" t="s">
        <v>68</v>
      </c>
      <c r="H32" s="286" t="s">
        <v>85</v>
      </c>
      <c r="I32" s="287"/>
      <c r="J32" s="263">
        <v>73719.009999999995</v>
      </c>
      <c r="K32" s="288"/>
      <c r="L32" s="288">
        <f t="shared" si="13"/>
        <v>15480.992099999998</v>
      </c>
      <c r="M32" s="288"/>
      <c r="N32" s="288"/>
      <c r="O32" s="288"/>
      <c r="P32" s="288"/>
      <c r="Q32" s="288"/>
      <c r="R32" s="289">
        <f t="shared" si="14"/>
        <v>89200.002099999998</v>
      </c>
    </row>
    <row r="33" spans="1:19" s="191" customFormat="1" x14ac:dyDescent="0.3">
      <c r="A33" s="263" t="s">
        <v>90</v>
      </c>
      <c r="B33" s="263" t="s">
        <v>79</v>
      </c>
      <c r="C33" s="264">
        <v>5</v>
      </c>
      <c r="D33" s="265">
        <v>2943</v>
      </c>
      <c r="E33" s="263" t="s">
        <v>117</v>
      </c>
      <c r="F33" s="293" t="s">
        <v>118</v>
      </c>
      <c r="G33" s="287" t="s">
        <v>68</v>
      </c>
      <c r="H33" s="286" t="s">
        <v>85</v>
      </c>
      <c r="I33" s="287"/>
      <c r="J33" s="263">
        <v>40274</v>
      </c>
      <c r="K33" s="288"/>
      <c r="L33" s="288">
        <f t="shared" si="13"/>
        <v>8457.5399999999991</v>
      </c>
      <c r="M33" s="288"/>
      <c r="N33" s="288"/>
      <c r="O33" s="288"/>
      <c r="P33" s="288"/>
      <c r="Q33" s="288"/>
      <c r="R33" s="289">
        <f t="shared" si="14"/>
        <v>48731.54</v>
      </c>
    </row>
    <row r="34" spans="1:19" s="191" customFormat="1" x14ac:dyDescent="0.3">
      <c r="A34" s="263" t="s">
        <v>94</v>
      </c>
      <c r="B34" s="263" t="s">
        <v>80</v>
      </c>
      <c r="C34" s="264">
        <v>2</v>
      </c>
      <c r="D34" s="265">
        <v>1347</v>
      </c>
      <c r="E34" s="263" t="s">
        <v>81</v>
      </c>
      <c r="F34" s="293" t="s">
        <v>119</v>
      </c>
      <c r="G34" s="287" t="s">
        <v>68</v>
      </c>
      <c r="H34" s="286" t="s">
        <v>85</v>
      </c>
      <c r="I34" s="287"/>
      <c r="J34" s="263">
        <v>411200</v>
      </c>
      <c r="K34" s="288"/>
      <c r="L34" s="288">
        <f t="shared" si="13"/>
        <v>86352</v>
      </c>
      <c r="M34" s="288"/>
      <c r="N34" s="288"/>
      <c r="O34" s="288"/>
      <c r="P34" s="288"/>
      <c r="Q34" s="288"/>
      <c r="R34" s="289">
        <f t="shared" si="14"/>
        <v>497552</v>
      </c>
    </row>
    <row r="35" spans="1:19" s="191" customFormat="1" x14ac:dyDescent="0.3">
      <c r="A35" s="263" t="s">
        <v>93</v>
      </c>
      <c r="B35" s="263" t="s">
        <v>80</v>
      </c>
      <c r="C35" s="264">
        <v>5</v>
      </c>
      <c r="D35" s="265">
        <v>55373</v>
      </c>
      <c r="E35" s="263" t="s">
        <v>86</v>
      </c>
      <c r="F35" s="286" t="s">
        <v>74</v>
      </c>
      <c r="G35" s="287" t="s">
        <v>68</v>
      </c>
      <c r="H35" s="286" t="s">
        <v>85</v>
      </c>
      <c r="I35" s="287"/>
      <c r="J35" s="263">
        <v>27272.71</v>
      </c>
      <c r="K35" s="288"/>
      <c r="L35" s="288">
        <f t="shared" si="13"/>
        <v>5727.2690999999995</v>
      </c>
      <c r="M35" s="288"/>
      <c r="N35" s="288"/>
      <c r="O35" s="288"/>
      <c r="P35" s="288"/>
      <c r="Q35" s="288"/>
      <c r="R35" s="289">
        <f t="shared" si="14"/>
        <v>32999.979099999997</v>
      </c>
    </row>
    <row r="36" spans="1:19" s="191" customFormat="1" x14ac:dyDescent="0.3">
      <c r="A36" s="263" t="s">
        <v>96</v>
      </c>
      <c r="B36" s="263" t="s">
        <v>80</v>
      </c>
      <c r="C36" s="264">
        <v>5</v>
      </c>
      <c r="D36" s="265">
        <v>55476</v>
      </c>
      <c r="E36" s="263" t="s">
        <v>86</v>
      </c>
      <c r="F36" s="286" t="s">
        <v>74</v>
      </c>
      <c r="G36" s="287" t="s">
        <v>68</v>
      </c>
      <c r="H36" s="286" t="s">
        <v>85</v>
      </c>
      <c r="I36" s="287"/>
      <c r="J36" s="263">
        <v>103474.42</v>
      </c>
      <c r="K36" s="288">
        <v>1302.1199999999999</v>
      </c>
      <c r="L36" s="288">
        <f t="shared" si="13"/>
        <v>21729.628199999999</v>
      </c>
      <c r="M36" s="288"/>
      <c r="N36" s="288"/>
      <c r="O36" s="288"/>
      <c r="P36" s="288"/>
      <c r="Q36" s="288"/>
      <c r="R36" s="289">
        <f t="shared" si="14"/>
        <v>126506.16819999999</v>
      </c>
    </row>
    <row r="37" spans="1:19" s="191" customFormat="1" x14ac:dyDescent="0.3">
      <c r="A37" s="263" t="s">
        <v>96</v>
      </c>
      <c r="B37" s="263" t="s">
        <v>80</v>
      </c>
      <c r="C37" s="264">
        <v>5</v>
      </c>
      <c r="D37" s="265">
        <v>55483</v>
      </c>
      <c r="E37" s="263" t="s">
        <v>86</v>
      </c>
      <c r="F37" s="286" t="s">
        <v>74</v>
      </c>
      <c r="G37" s="287" t="s">
        <v>68</v>
      </c>
      <c r="H37" s="286" t="s">
        <v>85</v>
      </c>
      <c r="I37" s="287"/>
      <c r="J37" s="263">
        <v>28941.38</v>
      </c>
      <c r="K37" s="288">
        <v>1476.86</v>
      </c>
      <c r="L37" s="288">
        <f t="shared" si="13"/>
        <v>6077.6898000000001</v>
      </c>
      <c r="M37" s="288"/>
      <c r="N37" s="288"/>
      <c r="O37" s="288"/>
      <c r="P37" s="288"/>
      <c r="Q37" s="288"/>
      <c r="R37" s="289">
        <f t="shared" si="14"/>
        <v>36495.929799999998</v>
      </c>
    </row>
    <row r="38" spans="1:19" s="191" customFormat="1" x14ac:dyDescent="0.3">
      <c r="A38" s="263" t="s">
        <v>97</v>
      </c>
      <c r="B38" s="263" t="s">
        <v>80</v>
      </c>
      <c r="C38" s="264">
        <v>5</v>
      </c>
      <c r="D38" s="265">
        <v>55522</v>
      </c>
      <c r="E38" s="263" t="s">
        <v>86</v>
      </c>
      <c r="F38" s="286" t="s">
        <v>74</v>
      </c>
      <c r="G38" s="287" t="s">
        <v>68</v>
      </c>
      <c r="H38" s="286" t="s">
        <v>85</v>
      </c>
      <c r="I38" s="287"/>
      <c r="J38" s="263">
        <v>39172.480000000003</v>
      </c>
      <c r="K38" s="288"/>
      <c r="L38" s="288">
        <f t="shared" si="13"/>
        <v>8226.220800000001</v>
      </c>
      <c r="M38" s="288"/>
      <c r="N38" s="288"/>
      <c r="O38" s="288"/>
      <c r="P38" s="288"/>
      <c r="Q38" s="288"/>
      <c r="R38" s="289">
        <f t="shared" si="14"/>
        <v>47398.700800000006</v>
      </c>
    </row>
    <row r="39" spans="1:19" s="191" customFormat="1" x14ac:dyDescent="0.3">
      <c r="A39" s="263" t="s">
        <v>99</v>
      </c>
      <c r="B39" s="263" t="s">
        <v>80</v>
      </c>
      <c r="C39" s="264">
        <v>5</v>
      </c>
      <c r="D39" s="265">
        <v>55552</v>
      </c>
      <c r="E39" s="263" t="s">
        <v>86</v>
      </c>
      <c r="F39" s="286" t="s">
        <v>74</v>
      </c>
      <c r="G39" s="287" t="s">
        <v>68</v>
      </c>
      <c r="H39" s="286" t="s">
        <v>85</v>
      </c>
      <c r="I39" s="287"/>
      <c r="J39" s="263">
        <v>78863.820000000007</v>
      </c>
      <c r="K39" s="288"/>
      <c r="L39" s="288">
        <f t="shared" si="13"/>
        <v>16561.4022</v>
      </c>
      <c r="M39" s="288"/>
      <c r="N39" s="288"/>
      <c r="O39" s="288"/>
      <c r="P39" s="288"/>
      <c r="Q39" s="288"/>
      <c r="R39" s="289">
        <f t="shared" si="14"/>
        <v>95425.222200000004</v>
      </c>
    </row>
    <row r="40" spans="1:19" s="191" customFormat="1" x14ac:dyDescent="0.3">
      <c r="A40" s="263" t="s">
        <v>101</v>
      </c>
      <c r="B40" s="263" t="s">
        <v>80</v>
      </c>
      <c r="C40" s="264">
        <v>5</v>
      </c>
      <c r="D40" s="265">
        <v>55617</v>
      </c>
      <c r="E40" s="263" t="s">
        <v>86</v>
      </c>
      <c r="F40" s="286" t="s">
        <v>74</v>
      </c>
      <c r="G40" s="287" t="s">
        <v>68</v>
      </c>
      <c r="H40" s="286" t="s">
        <v>85</v>
      </c>
      <c r="I40" s="287"/>
      <c r="J40" s="263">
        <v>85344.82</v>
      </c>
      <c r="K40" s="288">
        <v>612.76</v>
      </c>
      <c r="L40" s="288">
        <f t="shared" si="13"/>
        <v>17922.412200000002</v>
      </c>
      <c r="M40" s="288"/>
      <c r="N40" s="288"/>
      <c r="O40" s="288"/>
      <c r="P40" s="288"/>
      <c r="Q40" s="288"/>
      <c r="R40" s="289">
        <f t="shared" si="14"/>
        <v>103879.99220000001</v>
      </c>
    </row>
    <row r="41" spans="1:19" s="191" customFormat="1" x14ac:dyDescent="0.3">
      <c r="A41" s="263" t="s">
        <v>106</v>
      </c>
      <c r="B41" s="263" t="s">
        <v>80</v>
      </c>
      <c r="C41" s="264">
        <v>5</v>
      </c>
      <c r="D41" s="265">
        <v>55796</v>
      </c>
      <c r="E41" s="263" t="s">
        <v>86</v>
      </c>
      <c r="F41" s="286" t="s">
        <v>74</v>
      </c>
      <c r="G41" s="287" t="s">
        <v>68</v>
      </c>
      <c r="H41" s="286" t="s">
        <v>85</v>
      </c>
      <c r="I41" s="287"/>
      <c r="J41" s="263">
        <v>28925.59</v>
      </c>
      <c r="K41" s="288"/>
      <c r="L41" s="288">
        <f t="shared" si="13"/>
        <v>6074.3738999999996</v>
      </c>
      <c r="M41" s="288"/>
      <c r="N41" s="288"/>
      <c r="O41" s="288"/>
      <c r="P41" s="288"/>
      <c r="Q41" s="288"/>
      <c r="R41" s="289">
        <f t="shared" si="14"/>
        <v>34999.963900000002</v>
      </c>
    </row>
    <row r="42" spans="1:19" s="191" customFormat="1" x14ac:dyDescent="0.3">
      <c r="A42" s="263" t="s">
        <v>108</v>
      </c>
      <c r="B42" s="263" t="s">
        <v>80</v>
      </c>
      <c r="C42" s="264">
        <v>5</v>
      </c>
      <c r="D42" s="265">
        <v>55857</v>
      </c>
      <c r="E42" s="263" t="s">
        <v>86</v>
      </c>
      <c r="F42" s="286" t="s">
        <v>74</v>
      </c>
      <c r="G42" s="287" t="s">
        <v>68</v>
      </c>
      <c r="H42" s="286" t="s">
        <v>85</v>
      </c>
      <c r="I42" s="287"/>
      <c r="J42" s="263">
        <v>32232.2</v>
      </c>
      <c r="K42" s="288"/>
      <c r="L42" s="288">
        <f t="shared" si="13"/>
        <v>6768.7619999999997</v>
      </c>
      <c r="M42" s="288"/>
      <c r="N42" s="288"/>
      <c r="O42" s="288"/>
      <c r="P42" s="288"/>
      <c r="Q42" s="288"/>
      <c r="R42" s="289">
        <f t="shared" si="14"/>
        <v>39000.962</v>
      </c>
    </row>
    <row r="43" spans="1:19" s="191" customFormat="1" x14ac:dyDescent="0.3">
      <c r="A43" s="263" t="s">
        <v>108</v>
      </c>
      <c r="B43" s="263" t="s">
        <v>80</v>
      </c>
      <c r="C43" s="264">
        <v>5</v>
      </c>
      <c r="D43" s="265">
        <v>55884</v>
      </c>
      <c r="E43" s="263" t="s">
        <v>86</v>
      </c>
      <c r="F43" s="286" t="s">
        <v>74</v>
      </c>
      <c r="G43" s="287" t="s">
        <v>68</v>
      </c>
      <c r="H43" s="286" t="s">
        <v>85</v>
      </c>
      <c r="I43" s="287"/>
      <c r="J43" s="263">
        <v>80806.5</v>
      </c>
      <c r="K43" s="288"/>
      <c r="L43" s="288">
        <f t="shared" si="13"/>
        <v>16969.364999999998</v>
      </c>
      <c r="M43" s="288"/>
      <c r="N43" s="288"/>
      <c r="O43" s="288"/>
      <c r="P43" s="288"/>
      <c r="Q43" s="288"/>
      <c r="R43" s="289">
        <f t="shared" si="14"/>
        <v>97775.864999999991</v>
      </c>
    </row>
    <row r="44" spans="1:19" s="191" customFormat="1" x14ac:dyDescent="0.3">
      <c r="A44" s="263">
        <v>46164</v>
      </c>
      <c r="B44" s="263" t="s">
        <v>80</v>
      </c>
      <c r="C44" s="264">
        <v>26</v>
      </c>
      <c r="D44" s="265">
        <v>1341385</v>
      </c>
      <c r="E44" s="263" t="s">
        <v>121</v>
      </c>
      <c r="F44" s="286" t="s">
        <v>122</v>
      </c>
      <c r="G44" s="287" t="s">
        <v>68</v>
      </c>
      <c r="H44" s="286" t="s">
        <v>123</v>
      </c>
      <c r="I44" s="287"/>
      <c r="J44" s="263">
        <v>128630.6</v>
      </c>
      <c r="K44" s="288"/>
      <c r="L44" s="288">
        <f t="shared" si="13"/>
        <v>27012.425999999999</v>
      </c>
      <c r="M44" s="288">
        <v>34730.28</v>
      </c>
      <c r="N44" s="288"/>
      <c r="O44" s="288"/>
      <c r="P44" s="288"/>
      <c r="Q44" s="288"/>
      <c r="R44" s="289">
        <f t="shared" si="14"/>
        <v>190373.30600000001</v>
      </c>
      <c r="S44" s="191" t="s">
        <v>124</v>
      </c>
    </row>
    <row r="45" spans="1:19" s="191" customFormat="1" x14ac:dyDescent="0.3">
      <c r="A45" s="143"/>
      <c r="B45" s="261"/>
      <c r="C45" s="168"/>
      <c r="D45" s="169"/>
      <c r="E45" s="261"/>
      <c r="F45" s="259"/>
      <c r="G45" s="262"/>
      <c r="H45" s="259"/>
      <c r="I45" s="167"/>
      <c r="J45" s="261"/>
      <c r="K45" s="170"/>
      <c r="L45" s="170">
        <f t="shared" si="13"/>
        <v>0</v>
      </c>
      <c r="M45" s="170"/>
      <c r="N45" s="170"/>
      <c r="O45" s="170"/>
      <c r="P45" s="170"/>
      <c r="Q45" s="170"/>
      <c r="R45" s="260">
        <f t="shared" si="14"/>
        <v>0</v>
      </c>
    </row>
    <row r="46" spans="1:19" s="191" customFormat="1" x14ac:dyDescent="0.3">
      <c r="A46" s="143"/>
      <c r="B46" s="261"/>
      <c r="C46" s="168"/>
      <c r="D46" s="169"/>
      <c r="E46" s="261"/>
      <c r="F46" s="259"/>
      <c r="G46" s="262"/>
      <c r="H46" s="259"/>
      <c r="I46" s="167"/>
      <c r="J46" s="261"/>
      <c r="K46" s="170"/>
      <c r="L46" s="170">
        <f t="shared" si="13"/>
        <v>0</v>
      </c>
      <c r="M46" s="170"/>
      <c r="N46" s="170"/>
      <c r="O46" s="170"/>
      <c r="P46" s="170"/>
      <c r="Q46" s="170"/>
      <c r="R46" s="260">
        <f t="shared" si="14"/>
        <v>0</v>
      </c>
    </row>
    <row r="47" spans="1:19" s="191" customFormat="1" x14ac:dyDescent="0.3">
      <c r="A47" s="143"/>
      <c r="B47" s="261"/>
      <c r="C47" s="168"/>
      <c r="D47" s="169"/>
      <c r="E47" s="261"/>
      <c r="F47" s="259"/>
      <c r="G47" s="262"/>
      <c r="H47" s="259"/>
      <c r="I47" s="167"/>
      <c r="J47" s="261"/>
      <c r="K47" s="170"/>
      <c r="L47" s="170">
        <f t="shared" si="13"/>
        <v>0</v>
      </c>
      <c r="M47" s="170"/>
      <c r="N47" s="170"/>
      <c r="O47" s="170"/>
      <c r="P47" s="170"/>
      <c r="Q47" s="170"/>
      <c r="R47" s="260">
        <f t="shared" si="14"/>
        <v>0</v>
      </c>
    </row>
    <row r="48" spans="1:19" s="191" customFormat="1" x14ac:dyDescent="0.3">
      <c r="A48" s="221"/>
      <c r="B48" s="222"/>
      <c r="C48" s="223"/>
      <c r="D48" s="224"/>
      <c r="E48" s="230"/>
      <c r="F48" s="236"/>
      <c r="G48" s="222"/>
      <c r="H48" s="226"/>
      <c r="I48" s="222"/>
      <c r="J48" s="222"/>
      <c r="K48" s="227"/>
      <c r="L48" s="227">
        <f t="shared" ref="L48:L50" si="15">J48*0.21</f>
        <v>0</v>
      </c>
      <c r="M48" s="231"/>
      <c r="N48" s="231"/>
      <c r="O48" s="232"/>
      <c r="P48" s="231"/>
      <c r="Q48" s="231"/>
      <c r="R48" s="228">
        <f t="shared" ref="R48:R51" si="16">SUM(J48:Q48)</f>
        <v>0</v>
      </c>
    </row>
    <row r="49" spans="1:25" s="191" customFormat="1" x14ac:dyDescent="0.3">
      <c r="A49" s="221"/>
      <c r="B49" s="222"/>
      <c r="C49" s="223"/>
      <c r="D49" s="224"/>
      <c r="E49" s="230"/>
      <c r="F49" s="226"/>
      <c r="G49" s="222"/>
      <c r="H49" s="226"/>
      <c r="I49" s="222"/>
      <c r="J49" s="222"/>
      <c r="K49" s="227"/>
      <c r="L49" s="227">
        <f t="shared" si="15"/>
        <v>0</v>
      </c>
      <c r="M49" s="231"/>
      <c r="N49" s="231"/>
      <c r="O49" s="232"/>
      <c r="P49" s="231"/>
      <c r="Q49" s="231">
        <v>4038.5</v>
      </c>
      <c r="R49" s="228">
        <f t="shared" si="16"/>
        <v>4038.5</v>
      </c>
    </row>
    <row r="50" spans="1:25" s="191" customFormat="1" x14ac:dyDescent="0.3">
      <c r="A50" s="221"/>
      <c r="B50" s="222"/>
      <c r="C50" s="223"/>
      <c r="D50" s="224"/>
      <c r="E50" s="225"/>
      <c r="F50" s="225"/>
      <c r="G50" s="222"/>
      <c r="H50" s="226"/>
      <c r="I50" s="222"/>
      <c r="J50" s="229"/>
      <c r="K50" s="227"/>
      <c r="L50" s="227">
        <f t="shared" si="15"/>
        <v>0</v>
      </c>
      <c r="M50" s="227"/>
      <c r="N50" s="227"/>
      <c r="O50" s="228"/>
      <c r="P50" s="227"/>
      <c r="Q50" s="227"/>
      <c r="R50" s="228">
        <f t="shared" si="16"/>
        <v>0</v>
      </c>
    </row>
    <row r="51" spans="1:25" s="175" customFormat="1" x14ac:dyDescent="0.3">
      <c r="A51" s="221"/>
      <c r="B51" s="222"/>
      <c r="C51" s="223"/>
      <c r="D51" s="224"/>
      <c r="E51" s="225"/>
      <c r="F51" s="226"/>
      <c r="G51" s="222"/>
      <c r="H51" s="226"/>
      <c r="I51" s="222"/>
      <c r="J51" s="229"/>
      <c r="K51" s="227"/>
      <c r="L51" s="227"/>
      <c r="M51" s="227"/>
      <c r="N51" s="227"/>
      <c r="O51" s="228"/>
      <c r="P51" s="227"/>
      <c r="Q51" s="227"/>
      <c r="R51" s="228">
        <f t="shared" si="16"/>
        <v>0</v>
      </c>
      <c r="T51" s="174"/>
      <c r="U51" s="174"/>
      <c r="V51" s="174"/>
      <c r="W51" s="174"/>
      <c r="X51" s="174"/>
      <c r="Y51" s="174"/>
    </row>
    <row r="52" spans="1:25" s="175" customFormat="1" x14ac:dyDescent="0.3">
      <c r="A52" s="213" t="s">
        <v>18</v>
      </c>
      <c r="B52" s="188"/>
      <c r="C52" s="215"/>
      <c r="D52" s="216"/>
      <c r="E52" s="217"/>
      <c r="F52" s="200"/>
      <c r="G52" s="167"/>
      <c r="H52" s="215"/>
      <c r="I52" s="219"/>
      <c r="J52" s="220">
        <f>SUM(J1:J50)</f>
        <v>2508562.2499999995</v>
      </c>
      <c r="K52" s="138">
        <f>SUM(K1:K50)</f>
        <v>3391.74</v>
      </c>
      <c r="L52" s="138">
        <f>SUM(L1:L50)</f>
        <v>526798.07249999989</v>
      </c>
      <c r="M52" s="220">
        <f>SUM(M1:M50)</f>
        <v>34730.28</v>
      </c>
      <c r="N52" s="220">
        <f>SUM(N1:N50)</f>
        <v>0</v>
      </c>
      <c r="O52" s="220">
        <f>SUM(O1:O50)</f>
        <v>0</v>
      </c>
      <c r="P52" s="220">
        <f>SUM(P1:P50)</f>
        <v>0</v>
      </c>
      <c r="Q52" s="220">
        <f>SUM(Q1:Q50)</f>
        <v>112817.94</v>
      </c>
      <c r="R52" s="138">
        <f>SUM(R1:R50)</f>
        <v>2909769.7223000005</v>
      </c>
      <c r="S52" s="89"/>
      <c r="T52" s="89"/>
      <c r="U52" s="89"/>
      <c r="V52" s="89"/>
      <c r="W52" s="89"/>
      <c r="X52" s="89"/>
      <c r="Y52" s="89"/>
    </row>
    <row r="53" spans="1:25" s="175" customFormat="1" x14ac:dyDescent="0.3">
      <c r="A53" s="204"/>
      <c r="B53" s="205"/>
      <c r="C53" s="206"/>
      <c r="D53" s="207"/>
      <c r="E53" s="211"/>
      <c r="F53" s="212"/>
      <c r="G53" s="196"/>
      <c r="H53" s="208"/>
      <c r="I53" s="205"/>
      <c r="J53" s="189"/>
      <c r="K53" s="202"/>
      <c r="L53" s="202"/>
      <c r="M53" s="209"/>
      <c r="N53" s="209"/>
      <c r="O53" s="194"/>
      <c r="P53" s="209"/>
      <c r="Q53" s="210"/>
      <c r="R53" s="193"/>
      <c r="S53" s="174"/>
      <c r="T53" s="174"/>
      <c r="U53" s="174"/>
      <c r="V53" s="174"/>
      <c r="W53" s="174"/>
      <c r="X53" s="174"/>
      <c r="Y53" s="174"/>
    </row>
    <row r="54" spans="1:25" s="175" customFormat="1" x14ac:dyDescent="0.3">
      <c r="A54" s="204"/>
      <c r="B54" s="205"/>
      <c r="C54" s="206"/>
      <c r="D54" s="207"/>
      <c r="E54" s="211"/>
      <c r="F54" s="212"/>
      <c r="G54" s="196"/>
      <c r="H54" s="208"/>
      <c r="I54" s="205"/>
      <c r="J54" s="189"/>
      <c r="K54" s="202"/>
      <c r="L54" s="202"/>
      <c r="M54" s="209"/>
      <c r="N54" s="209"/>
      <c r="O54" s="194"/>
      <c r="P54" s="209"/>
      <c r="Q54" s="210"/>
      <c r="R54" s="193"/>
      <c r="S54" s="174"/>
      <c r="T54" s="174"/>
      <c r="U54" s="174"/>
      <c r="V54" s="174"/>
      <c r="W54" s="174"/>
      <c r="X54" s="174"/>
      <c r="Y54" s="174"/>
    </row>
    <row r="55" spans="1:25" x14ac:dyDescent="0.3">
      <c r="A55" s="195"/>
      <c r="B55" s="196"/>
      <c r="C55" s="197"/>
      <c r="D55" s="198"/>
      <c r="E55" s="199"/>
      <c r="F55" s="199"/>
      <c r="G55" s="196"/>
      <c r="H55" s="201"/>
      <c r="I55" s="196"/>
      <c r="J55" s="187"/>
      <c r="K55" s="202"/>
      <c r="L55" s="202"/>
      <c r="M55" s="202"/>
      <c r="N55" s="202"/>
      <c r="O55" s="192"/>
      <c r="P55" s="202"/>
      <c r="Q55" s="203"/>
      <c r="R55" s="193"/>
      <c r="S55" s="174"/>
      <c r="T55" s="174"/>
      <c r="U55" s="174"/>
      <c r="V55" s="174"/>
      <c r="W55" s="174"/>
      <c r="X55" s="174"/>
      <c r="Y55" s="174"/>
    </row>
    <row r="56" spans="1:25" x14ac:dyDescent="0.3">
      <c r="A56" s="143"/>
      <c r="B56" s="167"/>
      <c r="C56" s="168"/>
      <c r="D56" s="169"/>
      <c r="E56" s="172"/>
      <c r="F56" s="172"/>
      <c r="G56" s="196"/>
      <c r="H56" s="158"/>
      <c r="I56" s="167"/>
      <c r="J56" s="170"/>
      <c r="K56" s="170"/>
      <c r="L56" s="170"/>
      <c r="M56" s="140"/>
      <c r="N56" s="140"/>
      <c r="O56" s="76"/>
      <c r="P56" s="140"/>
      <c r="Q56" s="186"/>
      <c r="R56" s="156">
        <f>SUM(J56:Q56)</f>
        <v>0</v>
      </c>
    </row>
    <row r="57" spans="1:25" x14ac:dyDescent="0.3">
      <c r="A57" s="143"/>
      <c r="B57" s="167"/>
      <c r="C57" s="168"/>
      <c r="D57" s="169"/>
      <c r="E57" s="172"/>
      <c r="F57" s="172"/>
      <c r="G57" s="196"/>
      <c r="H57" s="158"/>
      <c r="I57" s="167"/>
      <c r="J57" s="170"/>
      <c r="K57" s="170"/>
      <c r="L57" s="170"/>
      <c r="M57" s="140"/>
      <c r="N57" s="140"/>
      <c r="O57" s="76"/>
      <c r="P57" s="140"/>
      <c r="Q57" s="186"/>
      <c r="R57" s="156">
        <f>SUM(J57:Q57)</f>
        <v>0</v>
      </c>
    </row>
    <row r="58" spans="1:25" s="175" customFormat="1" x14ac:dyDescent="0.3">
      <c r="A58" s="143"/>
      <c r="B58" s="167"/>
      <c r="C58" s="168"/>
      <c r="D58" s="169"/>
      <c r="E58" s="172"/>
      <c r="F58" s="172"/>
      <c r="G58" s="196"/>
      <c r="H58" s="158"/>
      <c r="I58" s="167"/>
      <c r="J58" s="170"/>
      <c r="K58" s="170"/>
      <c r="L58" s="170"/>
      <c r="M58" s="140"/>
      <c r="N58" s="140"/>
      <c r="O58" s="76"/>
      <c r="P58" s="140"/>
      <c r="Q58" s="186"/>
      <c r="R58" s="156">
        <f>SUM(J58:Q58)</f>
        <v>0</v>
      </c>
      <c r="S58" s="89"/>
      <c r="T58" s="89"/>
      <c r="U58" s="89"/>
      <c r="V58" s="89"/>
      <c r="W58" s="89"/>
      <c r="X58" s="89"/>
      <c r="Y58" s="89"/>
    </row>
    <row r="59" spans="1:25" x14ac:dyDescent="0.3">
      <c r="A59" s="171"/>
      <c r="B59" s="167"/>
      <c r="C59" s="168"/>
      <c r="D59" s="169"/>
      <c r="E59" s="172"/>
      <c r="F59" s="218"/>
      <c r="G59" s="196"/>
      <c r="H59" s="158"/>
      <c r="I59" s="167"/>
      <c r="J59" s="170"/>
      <c r="K59" s="170"/>
      <c r="L59" s="170"/>
      <c r="M59" s="140"/>
      <c r="N59" s="140"/>
      <c r="O59" s="76"/>
      <c r="P59" s="140"/>
      <c r="Q59" s="155"/>
      <c r="R59" s="156">
        <f>SUM(J59:Q59)</f>
        <v>0</v>
      </c>
      <c r="S59" s="175"/>
      <c r="T59" s="174"/>
      <c r="U59" s="174"/>
      <c r="V59" s="174"/>
      <c r="W59" s="174"/>
      <c r="X59" s="174"/>
      <c r="Y59" s="174"/>
    </row>
    <row r="60" spans="1:25" x14ac:dyDescent="0.3">
      <c r="A60" s="214"/>
      <c r="B60" s="139"/>
      <c r="C60" s="168"/>
      <c r="D60" s="169"/>
      <c r="E60" s="142"/>
      <c r="F60" s="141"/>
      <c r="G60" s="139"/>
      <c r="H60" s="141"/>
      <c r="I60" s="167"/>
      <c r="J60" s="144"/>
      <c r="K60" s="170"/>
      <c r="L60" s="170"/>
      <c r="M60" s="140"/>
      <c r="N60" s="140"/>
      <c r="O60" s="110"/>
      <c r="P60" s="140"/>
      <c r="Q60" s="186"/>
      <c r="R60" s="156"/>
    </row>
    <row r="62" spans="1:25" ht="15" thickBot="1" x14ac:dyDescent="0.35">
      <c r="A62" s="137"/>
      <c r="B62" s="134"/>
      <c r="C62" s="134"/>
      <c r="D62" s="136"/>
      <c r="E62" s="135"/>
      <c r="F62" s="134"/>
      <c r="G62" s="135"/>
      <c r="H62" s="134"/>
      <c r="I62" s="133"/>
      <c r="J62" s="132"/>
      <c r="K62" s="132"/>
      <c r="L62" s="132"/>
      <c r="M62" s="132"/>
      <c r="N62" s="132"/>
      <c r="O62" s="132"/>
      <c r="P62" s="173"/>
      <c r="Q62" s="132"/>
      <c r="R62" s="132"/>
    </row>
    <row r="63" spans="1:25" ht="15" thickBot="1" x14ac:dyDescent="0.35">
      <c r="A63" s="270" t="s">
        <v>19</v>
      </c>
      <c r="B63" s="271"/>
      <c r="C63" s="271"/>
      <c r="D63" s="271"/>
      <c r="E63" s="271"/>
      <c r="F63" s="271"/>
      <c r="G63" s="271"/>
      <c r="H63" s="272"/>
      <c r="I63" s="131"/>
      <c r="J63" s="128"/>
      <c r="K63" s="130"/>
      <c r="L63" s="127"/>
      <c r="M63" s="129"/>
      <c r="N63" s="127"/>
      <c r="O63" s="127"/>
      <c r="P63" s="127"/>
      <c r="Q63" s="128"/>
      <c r="R63" s="127"/>
    </row>
    <row r="64" spans="1:25" x14ac:dyDescent="0.3">
      <c r="A64" s="126"/>
      <c r="B64" s="123"/>
      <c r="C64" s="123"/>
      <c r="D64" s="125"/>
      <c r="E64" s="124"/>
      <c r="F64" s="123"/>
      <c r="G64" s="124"/>
      <c r="H64" s="123"/>
      <c r="I64" s="122"/>
      <c r="J64" s="118"/>
      <c r="K64" s="121"/>
      <c r="L64" s="120">
        <f>+J64*0.21</f>
        <v>0</v>
      </c>
      <c r="M64" s="119"/>
      <c r="N64" s="119"/>
      <c r="O64" s="119"/>
      <c r="P64" s="119"/>
      <c r="Q64" s="118"/>
      <c r="R64" s="117">
        <f>SUM(J64:Q64)</f>
        <v>0</v>
      </c>
    </row>
    <row r="65" spans="1:18" x14ac:dyDescent="0.3">
      <c r="A65" s="116"/>
      <c r="B65" s="113"/>
      <c r="C65" s="113"/>
      <c r="D65" s="115"/>
      <c r="E65" s="114"/>
      <c r="F65" s="113"/>
      <c r="G65" s="114"/>
      <c r="H65" s="113"/>
      <c r="I65" s="112"/>
      <c r="J65" s="109"/>
      <c r="K65" s="111"/>
      <c r="L65" s="101"/>
      <c r="M65" s="110"/>
      <c r="N65" s="101"/>
      <c r="O65" s="101"/>
      <c r="P65" s="101"/>
      <c r="Q65" s="109"/>
      <c r="R65" s="108"/>
    </row>
    <row r="66" spans="1:18" x14ac:dyDescent="0.3">
      <c r="A66" s="116"/>
      <c r="B66" s="113"/>
      <c r="C66" s="113"/>
      <c r="D66" s="115"/>
      <c r="E66" s="114"/>
      <c r="F66" s="113"/>
      <c r="G66" s="114"/>
      <c r="H66" s="113"/>
      <c r="I66" s="112"/>
      <c r="J66" s="109"/>
      <c r="K66" s="111"/>
      <c r="L66" s="101"/>
      <c r="M66" s="110"/>
      <c r="N66" s="110"/>
      <c r="O66" s="110"/>
      <c r="P66" s="110"/>
      <c r="Q66" s="109"/>
      <c r="R66" s="108"/>
    </row>
    <row r="67" spans="1:18" ht="15" thickBot="1" x14ac:dyDescent="0.35">
      <c r="A67" s="107"/>
      <c r="B67" s="104"/>
      <c r="C67" s="104"/>
      <c r="D67" s="106"/>
      <c r="E67" s="105"/>
      <c r="F67" s="104"/>
      <c r="G67" s="105"/>
      <c r="H67" s="104"/>
      <c r="I67" s="103"/>
      <c r="J67" s="99"/>
      <c r="K67" s="102"/>
      <c r="L67" s="101"/>
      <c r="M67" s="100"/>
      <c r="N67" s="100"/>
      <c r="O67" s="100"/>
      <c r="P67" s="100"/>
      <c r="Q67" s="99"/>
      <c r="R67" s="98"/>
    </row>
    <row r="68" spans="1:18" ht="15" thickBot="1" x14ac:dyDescent="0.35">
      <c r="A68" s="97"/>
      <c r="B68" s="96"/>
      <c r="C68" s="95"/>
      <c r="D68" s="273" t="s">
        <v>21</v>
      </c>
      <c r="E68" s="274"/>
      <c r="F68" s="274"/>
      <c r="G68" s="274"/>
      <c r="H68" s="275"/>
      <c r="I68" s="94"/>
      <c r="J68" s="93" t="e">
        <f>+#REF!+J64+J65+J66+J67</f>
        <v>#REF!</v>
      </c>
      <c r="K68" s="93" t="e">
        <f>+#REF!+K64+K65+K66+K67</f>
        <v>#REF!</v>
      </c>
      <c r="L68" s="93" t="e">
        <f>+#REF!+L64+L65+L66+L67</f>
        <v>#REF!</v>
      </c>
      <c r="M68" s="93" t="e">
        <f>+#REF!+M64+M65+M66+M67</f>
        <v>#REF!</v>
      </c>
      <c r="N68" s="93" t="e">
        <f>+#REF!+N64+N65+N66+N67</f>
        <v>#REF!</v>
      </c>
      <c r="O68" s="93" t="e">
        <f>+#REF!+O64+O65+O66+O67</f>
        <v>#REF!</v>
      </c>
      <c r="P68" s="93" t="e">
        <f>+#REF!+P64+P65+P66+P67</f>
        <v>#REF!</v>
      </c>
      <c r="Q68" s="93" t="e">
        <f>+#REF!+Q64+Q65+Q66+Q67</f>
        <v>#REF!</v>
      </c>
      <c r="R68" s="93" t="e">
        <f>+#REF!+R64+R65+R66+R67</f>
        <v>#REF!</v>
      </c>
    </row>
  </sheetData>
  <autoFilter ref="A7:Y61">
    <sortState ref="A9:Y20">
      <sortCondition ref="E7:E125"/>
    </sortState>
  </autoFilter>
  <mergeCells count="3">
    <mergeCell ref="A1:R1"/>
    <mergeCell ref="A63:H63"/>
    <mergeCell ref="D68:H6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5"/>
  <sheetViews>
    <sheetView tabSelected="1" zoomScale="70" zoomScaleNormal="70" workbookViewId="0">
      <selection activeCell="A21" sqref="A21"/>
    </sheetView>
  </sheetViews>
  <sheetFormatPr baseColWidth="10" defaultColWidth="11.5546875" defaultRowHeight="14.4" x14ac:dyDescent="0.3"/>
  <cols>
    <col min="2" max="2" width="19.88671875" customWidth="1"/>
    <col min="3" max="3" width="15.109375" customWidth="1"/>
    <col min="4" max="4" width="21.5546875" customWidth="1"/>
    <col min="5" max="5" width="45.33203125" style="185" customWidth="1"/>
    <col min="6" max="6" width="17.5546875" customWidth="1"/>
    <col min="7" max="7" width="20.5546875" customWidth="1"/>
    <col min="8" max="8" width="24.44140625" customWidth="1"/>
    <col min="9" max="9" width="15.33203125" customWidth="1"/>
    <col min="10" max="10" width="18.88671875" customWidth="1"/>
    <col min="11" max="11" width="14" customWidth="1"/>
    <col min="12" max="12" width="20.88671875" customWidth="1"/>
    <col min="13" max="13" width="11.5546875" style="157"/>
    <col min="14" max="14" width="33" style="157" customWidth="1"/>
    <col min="15" max="86" width="11.5546875" style="157"/>
  </cols>
  <sheetData>
    <row r="1" spans="1:13" ht="15" thickBot="1" x14ac:dyDescent="0.35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1"/>
    </row>
    <row r="2" spans="1:13" x14ac:dyDescent="0.3">
      <c r="A2" s="1"/>
      <c r="B2" s="1"/>
      <c r="C2" s="1"/>
      <c r="D2" s="1"/>
      <c r="E2" s="176"/>
      <c r="F2" s="2"/>
      <c r="G2" s="1"/>
      <c r="H2" s="1"/>
      <c r="I2" s="1"/>
      <c r="J2" s="1"/>
      <c r="K2" s="1"/>
      <c r="L2" s="1"/>
      <c r="M2" s="21"/>
    </row>
    <row r="3" spans="1:13" x14ac:dyDescent="0.3">
      <c r="A3" s="3" t="s">
        <v>1</v>
      </c>
      <c r="B3" s="3" t="s">
        <v>2</v>
      </c>
      <c r="C3" s="3"/>
      <c r="D3" s="3"/>
      <c r="E3" s="177"/>
      <c r="F3" s="2"/>
      <c r="G3" s="159"/>
      <c r="H3" s="159"/>
      <c r="I3" s="1"/>
      <c r="J3" s="1"/>
      <c r="K3" s="1"/>
      <c r="L3" s="1"/>
      <c r="M3" s="21"/>
    </row>
    <row r="4" spans="1:13" x14ac:dyDescent="0.3">
      <c r="A4" s="3" t="s">
        <v>3</v>
      </c>
      <c r="B4" s="3"/>
      <c r="C4" s="3"/>
      <c r="D4" s="3"/>
      <c r="E4" s="177"/>
      <c r="F4" s="2"/>
      <c r="G4" s="160"/>
      <c r="H4" s="159"/>
      <c r="I4" s="1"/>
      <c r="J4" s="1"/>
      <c r="K4" s="1"/>
      <c r="L4" s="1"/>
      <c r="M4" s="21"/>
    </row>
    <row r="5" spans="1:13" ht="15" customHeight="1" x14ac:dyDescent="0.3">
      <c r="A5" s="4" t="s">
        <v>69</v>
      </c>
      <c r="B5" s="3"/>
      <c r="C5" s="3"/>
      <c r="D5" s="3"/>
      <c r="E5" s="177"/>
      <c r="F5" s="2"/>
      <c r="G5" s="41"/>
      <c r="H5" s="159"/>
      <c r="I5" s="1"/>
      <c r="J5" s="1"/>
      <c r="K5" s="1"/>
      <c r="L5" s="1"/>
      <c r="M5" s="21"/>
    </row>
    <row r="6" spans="1:13" x14ac:dyDescent="0.3">
      <c r="A6" s="1"/>
      <c r="B6" s="1"/>
      <c r="C6" s="1"/>
      <c r="D6" s="1"/>
      <c r="E6" s="176"/>
      <c r="F6" s="2"/>
      <c r="G6" s="1"/>
      <c r="H6" s="1"/>
      <c r="I6" s="1"/>
      <c r="J6" s="1"/>
      <c r="K6" s="1"/>
      <c r="L6" s="1"/>
      <c r="M6" s="21"/>
    </row>
    <row r="7" spans="1:13" s="238" customFormat="1" x14ac:dyDescent="0.3">
      <c r="A7" s="282" t="s">
        <v>4</v>
      </c>
      <c r="B7" s="282" t="s">
        <v>5</v>
      </c>
      <c r="C7" s="283" t="s">
        <v>6</v>
      </c>
      <c r="D7" s="282" t="s">
        <v>7</v>
      </c>
      <c r="E7" s="284" t="s">
        <v>8</v>
      </c>
      <c r="F7" s="282" t="s">
        <v>9</v>
      </c>
      <c r="G7" s="282" t="s">
        <v>10</v>
      </c>
      <c r="H7" s="282" t="s">
        <v>11</v>
      </c>
      <c r="I7" s="282" t="s">
        <v>12</v>
      </c>
      <c r="J7" s="282" t="s">
        <v>13</v>
      </c>
      <c r="K7" s="282" t="s">
        <v>14</v>
      </c>
      <c r="L7" s="282" t="s">
        <v>15</v>
      </c>
      <c r="M7" s="239"/>
    </row>
    <row r="8" spans="1:13" s="240" customFormat="1" ht="17.399999999999999" customHeight="1" x14ac:dyDescent="0.3">
      <c r="A8" s="230" t="s">
        <v>90</v>
      </c>
      <c r="B8" s="230" t="s">
        <v>80</v>
      </c>
      <c r="C8" s="264">
        <v>1</v>
      </c>
      <c r="D8" s="265">
        <v>334</v>
      </c>
      <c r="E8" s="230" t="s">
        <v>81</v>
      </c>
      <c r="F8" s="236">
        <v>30669701639</v>
      </c>
      <c r="G8" s="263">
        <v>1146600</v>
      </c>
      <c r="H8" s="263"/>
      <c r="I8" s="263">
        <f t="shared" ref="I8:I71" si="0">G8*(21/100)</f>
        <v>240786</v>
      </c>
      <c r="J8" s="263"/>
      <c r="K8" s="266">
        <f t="shared" ref="K8:K71" si="1">SUM(G8:J8)</f>
        <v>1387386</v>
      </c>
      <c r="L8" s="263"/>
      <c r="M8" s="243"/>
    </row>
    <row r="9" spans="1:13" s="240" customFormat="1" ht="17.399999999999999" customHeight="1" x14ac:dyDescent="0.3">
      <c r="A9" s="230" t="s">
        <v>90</v>
      </c>
      <c r="B9" s="230" t="s">
        <v>89</v>
      </c>
      <c r="C9" s="264">
        <v>1</v>
      </c>
      <c r="D9" s="265">
        <v>14</v>
      </c>
      <c r="E9" s="230" t="s">
        <v>81</v>
      </c>
      <c r="F9" s="236">
        <v>30669701639</v>
      </c>
      <c r="G9" s="263">
        <v>1146600</v>
      </c>
      <c r="H9" s="263"/>
      <c r="I9" s="263">
        <f t="shared" si="0"/>
        <v>240786</v>
      </c>
      <c r="J9" s="263"/>
      <c r="K9" s="266">
        <f t="shared" si="1"/>
        <v>1387386</v>
      </c>
      <c r="L9" s="263"/>
      <c r="M9" s="243"/>
    </row>
    <row r="10" spans="1:13" s="240" customFormat="1" ht="17.399999999999999" customHeight="1" x14ac:dyDescent="0.3">
      <c r="A10" s="230" t="s">
        <v>91</v>
      </c>
      <c r="B10" s="230" t="s">
        <v>79</v>
      </c>
      <c r="C10" s="264">
        <v>1</v>
      </c>
      <c r="D10" s="265">
        <v>3834</v>
      </c>
      <c r="E10" s="230" t="s">
        <v>82</v>
      </c>
      <c r="F10" s="230"/>
      <c r="G10" s="263">
        <v>9504.14</v>
      </c>
      <c r="H10" s="263"/>
      <c r="I10" s="263">
        <f t="shared" si="0"/>
        <v>1995.8693999999998</v>
      </c>
      <c r="J10" s="263"/>
      <c r="K10" s="266">
        <f t="shared" si="1"/>
        <v>11500.009399999999</v>
      </c>
      <c r="L10" s="263"/>
      <c r="M10" s="243"/>
    </row>
    <row r="11" spans="1:13" s="245" customFormat="1" ht="17.399999999999999" customHeight="1" x14ac:dyDescent="0.3">
      <c r="A11" s="230" t="s">
        <v>91</v>
      </c>
      <c r="B11" s="230" t="s">
        <v>79</v>
      </c>
      <c r="C11" s="264">
        <v>1</v>
      </c>
      <c r="D11" s="265">
        <v>3835</v>
      </c>
      <c r="E11" s="230" t="s">
        <v>82</v>
      </c>
      <c r="F11" s="230"/>
      <c r="G11" s="263">
        <v>8677.67</v>
      </c>
      <c r="H11" s="263"/>
      <c r="I11" s="263">
        <f t="shared" si="0"/>
        <v>1822.3107</v>
      </c>
      <c r="J11" s="263"/>
      <c r="K11" s="266">
        <f t="shared" si="1"/>
        <v>10499.9807</v>
      </c>
      <c r="L11" s="263"/>
      <c r="M11" s="244"/>
    </row>
    <row r="12" spans="1:13" s="240" customFormat="1" ht="17.399999999999999" customHeight="1" x14ac:dyDescent="0.3">
      <c r="A12" s="230" t="s">
        <v>91</v>
      </c>
      <c r="B12" s="230" t="s">
        <v>79</v>
      </c>
      <c r="C12" s="264">
        <v>1</v>
      </c>
      <c r="D12" s="265">
        <v>3836</v>
      </c>
      <c r="E12" s="230" t="s">
        <v>82</v>
      </c>
      <c r="F12" s="230"/>
      <c r="G12" s="263">
        <v>8925.6200000000008</v>
      </c>
      <c r="H12" s="263"/>
      <c r="I12" s="263">
        <f t="shared" si="0"/>
        <v>1874.3802000000001</v>
      </c>
      <c r="J12" s="263"/>
      <c r="K12" s="266">
        <f t="shared" si="1"/>
        <v>10800.0002</v>
      </c>
      <c r="L12" s="263"/>
      <c r="M12" s="243"/>
    </row>
    <row r="13" spans="1:13" s="240" customFormat="1" ht="17.399999999999999" customHeight="1" x14ac:dyDescent="0.3">
      <c r="A13" s="230" t="s">
        <v>91</v>
      </c>
      <c r="B13" s="230" t="s">
        <v>79</v>
      </c>
      <c r="C13" s="264">
        <v>1</v>
      </c>
      <c r="D13" s="265">
        <v>3837</v>
      </c>
      <c r="E13" s="230" t="s">
        <v>82</v>
      </c>
      <c r="F13" s="230"/>
      <c r="G13" s="263">
        <v>8099.19</v>
      </c>
      <c r="H13" s="263"/>
      <c r="I13" s="263">
        <f t="shared" si="0"/>
        <v>1700.8299</v>
      </c>
      <c r="J13" s="263"/>
      <c r="K13" s="266">
        <f t="shared" si="1"/>
        <v>9800.0198999999993</v>
      </c>
      <c r="L13" s="263"/>
      <c r="M13" s="243"/>
    </row>
    <row r="14" spans="1:13" s="240" customFormat="1" ht="17.399999999999999" customHeight="1" x14ac:dyDescent="0.3">
      <c r="A14" s="230" t="s">
        <v>92</v>
      </c>
      <c r="B14" s="230" t="s">
        <v>79</v>
      </c>
      <c r="C14" s="264">
        <v>1</v>
      </c>
      <c r="D14" s="265">
        <v>3838</v>
      </c>
      <c r="E14" s="230" t="s">
        <v>82</v>
      </c>
      <c r="F14" s="230"/>
      <c r="G14" s="263">
        <v>7933.9</v>
      </c>
      <c r="H14" s="263"/>
      <c r="I14" s="263">
        <f t="shared" si="0"/>
        <v>1666.1189999999999</v>
      </c>
      <c r="J14" s="263"/>
      <c r="K14" s="266">
        <f t="shared" si="1"/>
        <v>9600.0190000000002</v>
      </c>
      <c r="L14" s="263"/>
      <c r="M14" s="243"/>
    </row>
    <row r="15" spans="1:13" s="240" customFormat="1" ht="17.399999999999999" customHeight="1" x14ac:dyDescent="0.3">
      <c r="A15" s="230" t="s">
        <v>92</v>
      </c>
      <c r="B15" s="230" t="s">
        <v>79</v>
      </c>
      <c r="C15" s="264">
        <v>1</v>
      </c>
      <c r="D15" s="265">
        <v>3839</v>
      </c>
      <c r="E15" s="230" t="s">
        <v>82</v>
      </c>
      <c r="F15" s="230"/>
      <c r="G15" s="263">
        <v>6562</v>
      </c>
      <c r="H15" s="263"/>
      <c r="I15" s="263">
        <f t="shared" si="0"/>
        <v>1378.02</v>
      </c>
      <c r="J15" s="263"/>
      <c r="K15" s="266">
        <f t="shared" si="1"/>
        <v>7940.02</v>
      </c>
      <c r="L15" s="263"/>
      <c r="M15" s="243"/>
    </row>
    <row r="16" spans="1:13" s="240" customFormat="1" ht="17.399999999999999" customHeight="1" x14ac:dyDescent="0.3">
      <c r="A16" s="230" t="s">
        <v>93</v>
      </c>
      <c r="B16" s="230" t="s">
        <v>79</v>
      </c>
      <c r="C16" s="264">
        <v>1</v>
      </c>
      <c r="D16" s="265">
        <v>3841</v>
      </c>
      <c r="E16" s="230" t="s">
        <v>82</v>
      </c>
      <c r="F16" s="230"/>
      <c r="G16" s="263">
        <v>9256.19</v>
      </c>
      <c r="H16" s="263"/>
      <c r="I16" s="263">
        <f t="shared" si="0"/>
        <v>1943.7999</v>
      </c>
      <c r="J16" s="263"/>
      <c r="K16" s="266">
        <f t="shared" si="1"/>
        <v>11199.9899</v>
      </c>
      <c r="L16" s="263"/>
      <c r="M16" s="243"/>
    </row>
    <row r="17" spans="1:13" s="240" customFormat="1" ht="17.399999999999999" customHeight="1" x14ac:dyDescent="0.3">
      <c r="A17" s="230" t="s">
        <v>93</v>
      </c>
      <c r="B17" s="230" t="s">
        <v>79</v>
      </c>
      <c r="C17" s="264">
        <v>1</v>
      </c>
      <c r="D17" s="265">
        <v>3842</v>
      </c>
      <c r="E17" s="230" t="s">
        <v>82</v>
      </c>
      <c r="F17" s="230"/>
      <c r="G17" s="263">
        <v>9504.14</v>
      </c>
      <c r="H17" s="263"/>
      <c r="I17" s="263">
        <f t="shared" si="0"/>
        <v>1995.8693999999998</v>
      </c>
      <c r="J17" s="263"/>
      <c r="K17" s="266">
        <f t="shared" si="1"/>
        <v>11500.009399999999</v>
      </c>
      <c r="L17" s="263"/>
      <c r="M17" s="243"/>
    </row>
    <row r="18" spans="1:13" s="240" customFormat="1" ht="17.399999999999999" customHeight="1" x14ac:dyDescent="0.3">
      <c r="A18" s="230" t="s">
        <v>93</v>
      </c>
      <c r="B18" s="230" t="s">
        <v>79</v>
      </c>
      <c r="C18" s="264">
        <v>1</v>
      </c>
      <c r="D18" s="265">
        <v>3843</v>
      </c>
      <c r="E18" s="230" t="s">
        <v>82</v>
      </c>
      <c r="F18" s="230"/>
      <c r="G18" s="263">
        <v>7933.9</v>
      </c>
      <c r="H18" s="263"/>
      <c r="I18" s="263">
        <f t="shared" si="0"/>
        <v>1666.1189999999999</v>
      </c>
      <c r="J18" s="263"/>
      <c r="K18" s="266">
        <f t="shared" si="1"/>
        <v>9600.0190000000002</v>
      </c>
      <c r="L18" s="263"/>
      <c r="M18" s="243"/>
    </row>
    <row r="19" spans="1:13" s="240" customFormat="1" ht="17.399999999999999" customHeight="1" x14ac:dyDescent="0.3">
      <c r="A19" s="230" t="s">
        <v>93</v>
      </c>
      <c r="B19" s="230" t="s">
        <v>79</v>
      </c>
      <c r="C19" s="264">
        <v>1</v>
      </c>
      <c r="D19" s="265">
        <v>3844</v>
      </c>
      <c r="E19" s="230" t="s">
        <v>82</v>
      </c>
      <c r="F19" s="230"/>
      <c r="G19" s="263">
        <v>6115.71</v>
      </c>
      <c r="H19" s="263"/>
      <c r="I19" s="263">
        <f t="shared" si="0"/>
        <v>1284.2991</v>
      </c>
      <c r="J19" s="263"/>
      <c r="K19" s="266">
        <f t="shared" si="1"/>
        <v>7400.0091000000002</v>
      </c>
      <c r="L19" s="263"/>
      <c r="M19" s="243"/>
    </row>
    <row r="20" spans="1:13" s="240" customFormat="1" ht="17.399999999999999" customHeight="1" x14ac:dyDescent="0.3">
      <c r="A20" s="230" t="s">
        <v>93</v>
      </c>
      <c r="B20" s="230" t="s">
        <v>79</v>
      </c>
      <c r="C20" s="264">
        <v>1</v>
      </c>
      <c r="D20" s="265">
        <v>3840</v>
      </c>
      <c r="E20" s="230" t="s">
        <v>82</v>
      </c>
      <c r="F20" s="230"/>
      <c r="G20" s="263">
        <v>7933.9</v>
      </c>
      <c r="H20" s="263"/>
      <c r="I20" s="263">
        <f t="shared" si="0"/>
        <v>1666.1189999999999</v>
      </c>
      <c r="J20" s="263"/>
      <c r="K20" s="266">
        <f t="shared" si="1"/>
        <v>9600.0190000000002</v>
      </c>
      <c r="L20" s="263"/>
      <c r="M20" s="243"/>
    </row>
    <row r="21" spans="1:13" s="240" customFormat="1" ht="17.399999999999999" customHeight="1" x14ac:dyDescent="0.3">
      <c r="A21" s="230" t="s">
        <v>94</v>
      </c>
      <c r="B21" s="230" t="s">
        <v>80</v>
      </c>
      <c r="C21" s="264">
        <v>1</v>
      </c>
      <c r="D21" s="265">
        <v>335</v>
      </c>
      <c r="E21" s="230" t="s">
        <v>81</v>
      </c>
      <c r="F21" s="236">
        <v>30669701639</v>
      </c>
      <c r="G21" s="263">
        <v>4373200</v>
      </c>
      <c r="H21" s="263"/>
      <c r="I21" s="263">
        <f t="shared" si="0"/>
        <v>918372</v>
      </c>
      <c r="J21" s="263"/>
      <c r="K21" s="266">
        <f t="shared" si="1"/>
        <v>5291572</v>
      </c>
      <c r="L21" s="263"/>
      <c r="M21" s="243"/>
    </row>
    <row r="22" spans="1:13" s="240" customFormat="1" ht="17.399999999999999" customHeight="1" x14ac:dyDescent="0.3">
      <c r="A22" s="230" t="s">
        <v>94</v>
      </c>
      <c r="B22" s="230" t="s">
        <v>79</v>
      </c>
      <c r="C22" s="264">
        <v>1</v>
      </c>
      <c r="D22" s="265">
        <v>3845</v>
      </c>
      <c r="E22" s="230" t="s">
        <v>82</v>
      </c>
      <c r="F22" s="230"/>
      <c r="G22" s="263">
        <v>6528.9</v>
      </c>
      <c r="H22" s="263"/>
      <c r="I22" s="263">
        <f t="shared" si="0"/>
        <v>1371.069</v>
      </c>
      <c r="J22" s="263"/>
      <c r="K22" s="266">
        <f t="shared" si="1"/>
        <v>7899.9689999999991</v>
      </c>
      <c r="L22" s="263"/>
      <c r="M22" s="243"/>
    </row>
    <row r="23" spans="1:13" s="240" customFormat="1" ht="17.399999999999999" customHeight="1" x14ac:dyDescent="0.3">
      <c r="A23" s="230" t="s">
        <v>94</v>
      </c>
      <c r="B23" s="230" t="s">
        <v>79</v>
      </c>
      <c r="C23" s="264">
        <v>1</v>
      </c>
      <c r="D23" s="265">
        <v>3846</v>
      </c>
      <c r="E23" s="230" t="s">
        <v>82</v>
      </c>
      <c r="F23" s="230"/>
      <c r="G23" s="263">
        <v>9421.48</v>
      </c>
      <c r="H23" s="263"/>
      <c r="I23" s="263">
        <f t="shared" si="0"/>
        <v>1978.5107999999998</v>
      </c>
      <c r="J23" s="263"/>
      <c r="K23" s="266">
        <f t="shared" si="1"/>
        <v>11399.9908</v>
      </c>
      <c r="L23" s="263"/>
      <c r="M23" s="243"/>
    </row>
    <row r="24" spans="1:13" s="245" customFormat="1" ht="17.399999999999999" customHeight="1" x14ac:dyDescent="0.3">
      <c r="A24" s="230" t="s">
        <v>94</v>
      </c>
      <c r="B24" s="230" t="s">
        <v>79</v>
      </c>
      <c r="C24" s="264">
        <v>1</v>
      </c>
      <c r="D24" s="265">
        <v>3847</v>
      </c>
      <c r="E24" s="230" t="s">
        <v>82</v>
      </c>
      <c r="F24" s="230"/>
      <c r="G24" s="263">
        <v>8677.67</v>
      </c>
      <c r="H24" s="263"/>
      <c r="I24" s="263">
        <f t="shared" si="0"/>
        <v>1822.3107</v>
      </c>
      <c r="J24" s="263"/>
      <c r="K24" s="266">
        <f t="shared" si="1"/>
        <v>10499.9807</v>
      </c>
      <c r="L24" s="263"/>
      <c r="M24" s="244"/>
    </row>
    <row r="25" spans="1:13" s="240" customFormat="1" ht="17.399999999999999" customHeight="1" x14ac:dyDescent="0.3">
      <c r="A25" s="230" t="s">
        <v>95</v>
      </c>
      <c r="B25" s="230" t="s">
        <v>79</v>
      </c>
      <c r="C25" s="264">
        <v>1</v>
      </c>
      <c r="D25" s="265">
        <v>3848</v>
      </c>
      <c r="E25" s="230" t="s">
        <v>82</v>
      </c>
      <c r="F25" s="230"/>
      <c r="G25" s="263">
        <v>8595.0499999999993</v>
      </c>
      <c r="H25" s="263"/>
      <c r="I25" s="263">
        <f t="shared" si="0"/>
        <v>1804.9604999999997</v>
      </c>
      <c r="J25" s="263"/>
      <c r="K25" s="266">
        <f t="shared" si="1"/>
        <v>10400.010499999999</v>
      </c>
      <c r="L25" s="263"/>
      <c r="M25" s="243"/>
    </row>
    <row r="26" spans="1:13" s="240" customFormat="1" ht="17.399999999999999" customHeight="1" x14ac:dyDescent="0.3">
      <c r="A26" s="230" t="s">
        <v>95</v>
      </c>
      <c r="B26" s="230" t="s">
        <v>79</v>
      </c>
      <c r="C26" s="264">
        <v>1</v>
      </c>
      <c r="D26" s="265">
        <v>3849</v>
      </c>
      <c r="E26" s="230" t="s">
        <v>82</v>
      </c>
      <c r="F26" s="230"/>
      <c r="G26" s="263">
        <v>6115.71</v>
      </c>
      <c r="H26" s="263"/>
      <c r="I26" s="263">
        <f t="shared" si="0"/>
        <v>1284.2991</v>
      </c>
      <c r="J26" s="263"/>
      <c r="K26" s="266">
        <f t="shared" si="1"/>
        <v>7400.0091000000002</v>
      </c>
      <c r="L26" s="263"/>
      <c r="M26" s="243"/>
    </row>
    <row r="27" spans="1:13" s="240" customFormat="1" ht="17.399999999999999" customHeight="1" x14ac:dyDescent="0.3">
      <c r="A27" s="230" t="s">
        <v>95</v>
      </c>
      <c r="B27" s="230" t="s">
        <v>79</v>
      </c>
      <c r="C27" s="264">
        <v>1</v>
      </c>
      <c r="D27" s="265">
        <v>3850</v>
      </c>
      <c r="E27" s="230" t="s">
        <v>82</v>
      </c>
      <c r="F27" s="230"/>
      <c r="G27" s="263">
        <v>7933.9</v>
      </c>
      <c r="H27" s="263"/>
      <c r="I27" s="263">
        <f t="shared" si="0"/>
        <v>1666.1189999999999</v>
      </c>
      <c r="J27" s="263"/>
      <c r="K27" s="266">
        <f t="shared" si="1"/>
        <v>9600.0190000000002</v>
      </c>
      <c r="L27" s="263"/>
      <c r="M27" s="243"/>
    </row>
    <row r="28" spans="1:13" s="240" customFormat="1" ht="17.399999999999999" customHeight="1" x14ac:dyDescent="0.3">
      <c r="A28" s="230" t="s">
        <v>96</v>
      </c>
      <c r="B28" s="230" t="s">
        <v>79</v>
      </c>
      <c r="C28" s="264">
        <v>1</v>
      </c>
      <c r="D28" s="265">
        <v>3851</v>
      </c>
      <c r="E28" s="230" t="s">
        <v>82</v>
      </c>
      <c r="F28" s="230"/>
      <c r="G28" s="263">
        <v>12148.76</v>
      </c>
      <c r="H28" s="263"/>
      <c r="I28" s="263">
        <f t="shared" si="0"/>
        <v>2551.2395999999999</v>
      </c>
      <c r="J28" s="263"/>
      <c r="K28" s="266">
        <f t="shared" si="1"/>
        <v>14699.999599999999</v>
      </c>
      <c r="L28" s="263"/>
      <c r="M28" s="243"/>
    </row>
    <row r="29" spans="1:13" s="240" customFormat="1" ht="17.399999999999999" customHeight="1" x14ac:dyDescent="0.3">
      <c r="A29" s="230" t="s">
        <v>96</v>
      </c>
      <c r="B29" s="230" t="s">
        <v>79</v>
      </c>
      <c r="C29" s="264">
        <v>1</v>
      </c>
      <c r="D29" s="265">
        <v>3852</v>
      </c>
      <c r="E29" s="230" t="s">
        <v>82</v>
      </c>
      <c r="F29" s="230"/>
      <c r="G29" s="263">
        <v>9669.43</v>
      </c>
      <c r="H29" s="263"/>
      <c r="I29" s="263">
        <f t="shared" si="0"/>
        <v>2030.5803000000001</v>
      </c>
      <c r="J29" s="263"/>
      <c r="K29" s="266">
        <f t="shared" si="1"/>
        <v>11700.0103</v>
      </c>
      <c r="L29" s="263"/>
      <c r="M29" s="243"/>
    </row>
    <row r="30" spans="1:13" s="240" customFormat="1" ht="17.399999999999999" customHeight="1" x14ac:dyDescent="0.3">
      <c r="A30" s="230" t="s">
        <v>97</v>
      </c>
      <c r="B30" s="230" t="s">
        <v>79</v>
      </c>
      <c r="C30" s="264">
        <v>1</v>
      </c>
      <c r="D30" s="265">
        <v>3853</v>
      </c>
      <c r="E30" s="230" t="s">
        <v>82</v>
      </c>
      <c r="F30" s="230"/>
      <c r="G30" s="263">
        <v>12231.43</v>
      </c>
      <c r="H30" s="263"/>
      <c r="I30" s="263">
        <f t="shared" si="0"/>
        <v>2568.6003000000001</v>
      </c>
      <c r="J30" s="263"/>
      <c r="K30" s="266">
        <f t="shared" si="1"/>
        <v>14800.0303</v>
      </c>
      <c r="L30" s="263"/>
      <c r="M30" s="243"/>
    </row>
    <row r="31" spans="1:13" s="240" customFormat="1" ht="17.399999999999999" customHeight="1" x14ac:dyDescent="0.3">
      <c r="A31" s="230" t="s">
        <v>97</v>
      </c>
      <c r="B31" s="230" t="s">
        <v>79</v>
      </c>
      <c r="C31" s="264">
        <v>1</v>
      </c>
      <c r="D31" s="265">
        <v>3854</v>
      </c>
      <c r="E31" s="230" t="s">
        <v>82</v>
      </c>
      <c r="F31" s="230"/>
      <c r="G31" s="263">
        <v>7933.9</v>
      </c>
      <c r="H31" s="263"/>
      <c r="I31" s="263">
        <f t="shared" si="0"/>
        <v>1666.1189999999999</v>
      </c>
      <c r="J31" s="263"/>
      <c r="K31" s="266">
        <f t="shared" si="1"/>
        <v>9600.0190000000002</v>
      </c>
      <c r="L31" s="263"/>
      <c r="M31" s="243"/>
    </row>
    <row r="32" spans="1:13" s="240" customFormat="1" ht="17.399999999999999" customHeight="1" x14ac:dyDescent="0.3">
      <c r="A32" s="230" t="s">
        <v>97</v>
      </c>
      <c r="B32" s="230" t="s">
        <v>79</v>
      </c>
      <c r="C32" s="264">
        <v>1</v>
      </c>
      <c r="D32" s="265">
        <v>3855</v>
      </c>
      <c r="E32" s="230" t="s">
        <v>82</v>
      </c>
      <c r="F32" s="230"/>
      <c r="G32" s="263">
        <v>13057.86</v>
      </c>
      <c r="H32" s="263"/>
      <c r="I32" s="263">
        <f t="shared" si="0"/>
        <v>2742.1505999999999</v>
      </c>
      <c r="J32" s="263"/>
      <c r="K32" s="266">
        <f t="shared" si="1"/>
        <v>15800.010600000001</v>
      </c>
      <c r="L32" s="263"/>
      <c r="M32" s="243"/>
    </row>
    <row r="33" spans="1:13" s="240" customFormat="1" ht="17.399999999999999" customHeight="1" x14ac:dyDescent="0.3">
      <c r="A33" s="230" t="s">
        <v>97</v>
      </c>
      <c r="B33" s="230" t="s">
        <v>79</v>
      </c>
      <c r="C33" s="264">
        <v>1</v>
      </c>
      <c r="D33" s="265">
        <v>3856</v>
      </c>
      <c r="E33" s="230" t="s">
        <v>82</v>
      </c>
      <c r="F33" s="230"/>
      <c r="G33" s="263">
        <v>8016.52</v>
      </c>
      <c r="H33" s="263"/>
      <c r="I33" s="263">
        <f t="shared" si="0"/>
        <v>1683.4692</v>
      </c>
      <c r="J33" s="263"/>
      <c r="K33" s="266">
        <f t="shared" si="1"/>
        <v>9699.9892</v>
      </c>
      <c r="L33" s="263"/>
      <c r="M33" s="243"/>
    </row>
    <row r="34" spans="1:13" s="240" customFormat="1" ht="17.399999999999999" customHeight="1" x14ac:dyDescent="0.3">
      <c r="A34" s="230" t="s">
        <v>97</v>
      </c>
      <c r="B34" s="230" t="s">
        <v>79</v>
      </c>
      <c r="C34" s="264">
        <v>1</v>
      </c>
      <c r="D34" s="265">
        <v>3857</v>
      </c>
      <c r="E34" s="230" t="s">
        <v>82</v>
      </c>
      <c r="F34" s="230"/>
      <c r="G34" s="263">
        <v>12148.76</v>
      </c>
      <c r="H34" s="263"/>
      <c r="I34" s="263">
        <f t="shared" si="0"/>
        <v>2551.2395999999999</v>
      </c>
      <c r="J34" s="263"/>
      <c r="K34" s="266">
        <f t="shared" si="1"/>
        <v>14699.999599999999</v>
      </c>
      <c r="L34" s="263"/>
      <c r="M34" s="243"/>
    </row>
    <row r="35" spans="1:13" s="240" customFormat="1" ht="17.399999999999999" customHeight="1" x14ac:dyDescent="0.3">
      <c r="A35" s="230" t="s">
        <v>98</v>
      </c>
      <c r="B35" s="230" t="s">
        <v>79</v>
      </c>
      <c r="C35" s="264">
        <v>1</v>
      </c>
      <c r="D35" s="265">
        <v>3858</v>
      </c>
      <c r="E35" s="230" t="s">
        <v>82</v>
      </c>
      <c r="F35" s="230"/>
      <c r="G35" s="263">
        <v>10578.52</v>
      </c>
      <c r="H35" s="263"/>
      <c r="I35" s="263">
        <f t="shared" si="0"/>
        <v>2221.4892</v>
      </c>
      <c r="J35" s="263"/>
      <c r="K35" s="266">
        <f t="shared" si="1"/>
        <v>12800.0092</v>
      </c>
      <c r="L35" s="263"/>
      <c r="M35" s="243"/>
    </row>
    <row r="36" spans="1:13" s="240" customFormat="1" ht="17.399999999999999" customHeight="1" x14ac:dyDescent="0.3">
      <c r="A36" s="230" t="s">
        <v>98</v>
      </c>
      <c r="B36" s="230" t="s">
        <v>79</v>
      </c>
      <c r="C36" s="264">
        <v>1</v>
      </c>
      <c r="D36" s="265">
        <v>3859</v>
      </c>
      <c r="E36" s="230" t="s">
        <v>82</v>
      </c>
      <c r="F36" s="230"/>
      <c r="G36" s="263">
        <v>12396.71</v>
      </c>
      <c r="H36" s="263"/>
      <c r="I36" s="263">
        <f t="shared" si="0"/>
        <v>2603.3090999999999</v>
      </c>
      <c r="J36" s="263"/>
      <c r="K36" s="266">
        <f t="shared" si="1"/>
        <v>15000.0191</v>
      </c>
      <c r="L36" s="263"/>
      <c r="M36" s="243"/>
    </row>
    <row r="37" spans="1:13" s="240" customFormat="1" ht="17.399999999999999" customHeight="1" x14ac:dyDescent="0.3">
      <c r="A37" s="230" t="s">
        <v>98</v>
      </c>
      <c r="B37" s="230" t="s">
        <v>79</v>
      </c>
      <c r="C37" s="264">
        <v>1</v>
      </c>
      <c r="D37" s="265">
        <v>3860</v>
      </c>
      <c r="E37" s="230" t="s">
        <v>82</v>
      </c>
      <c r="F37" s="230"/>
      <c r="G37" s="263">
        <v>12148.76</v>
      </c>
      <c r="H37" s="263"/>
      <c r="I37" s="263">
        <f t="shared" si="0"/>
        <v>2551.2395999999999</v>
      </c>
      <c r="J37" s="263"/>
      <c r="K37" s="266">
        <f t="shared" si="1"/>
        <v>14699.999599999999</v>
      </c>
      <c r="L37" s="263"/>
      <c r="M37" s="243"/>
    </row>
    <row r="38" spans="1:13" s="240" customFormat="1" ht="17.399999999999999" customHeight="1" x14ac:dyDescent="0.3">
      <c r="A38" s="230" t="s">
        <v>99</v>
      </c>
      <c r="B38" s="230" t="s">
        <v>79</v>
      </c>
      <c r="C38" s="264">
        <v>1</v>
      </c>
      <c r="D38" s="265">
        <v>3861</v>
      </c>
      <c r="E38" s="230" t="s">
        <v>82</v>
      </c>
      <c r="F38" s="230"/>
      <c r="G38" s="263">
        <v>9421.48</v>
      </c>
      <c r="H38" s="263"/>
      <c r="I38" s="263">
        <f t="shared" si="0"/>
        <v>1978.5107999999998</v>
      </c>
      <c r="J38" s="263"/>
      <c r="K38" s="266">
        <f t="shared" si="1"/>
        <v>11399.9908</v>
      </c>
      <c r="L38" s="263"/>
      <c r="M38" s="243"/>
    </row>
    <row r="39" spans="1:13" s="245" customFormat="1" ht="17.399999999999999" customHeight="1" x14ac:dyDescent="0.3">
      <c r="A39" s="230" t="s">
        <v>99</v>
      </c>
      <c r="B39" s="230" t="s">
        <v>79</v>
      </c>
      <c r="C39" s="264">
        <v>1</v>
      </c>
      <c r="D39" s="265">
        <v>3862</v>
      </c>
      <c r="E39" s="230" t="s">
        <v>82</v>
      </c>
      <c r="F39" s="230"/>
      <c r="G39" s="263">
        <v>14958.67</v>
      </c>
      <c r="H39" s="263"/>
      <c r="I39" s="263">
        <f t="shared" si="0"/>
        <v>3141.3206999999998</v>
      </c>
      <c r="J39" s="263"/>
      <c r="K39" s="266">
        <f t="shared" si="1"/>
        <v>18099.990699999998</v>
      </c>
      <c r="L39" s="263"/>
      <c r="M39" s="244"/>
    </row>
    <row r="40" spans="1:13" s="240" customFormat="1" ht="17.399999999999999" customHeight="1" x14ac:dyDescent="0.3">
      <c r="A40" s="230" t="s">
        <v>99</v>
      </c>
      <c r="B40" s="230" t="s">
        <v>79</v>
      </c>
      <c r="C40" s="264">
        <v>1</v>
      </c>
      <c r="D40" s="265">
        <v>3863</v>
      </c>
      <c r="E40" s="230" t="s">
        <v>82</v>
      </c>
      <c r="F40" s="230"/>
      <c r="G40" s="263">
        <v>9421.48</v>
      </c>
      <c r="H40" s="263"/>
      <c r="I40" s="263">
        <f t="shared" si="0"/>
        <v>1978.5107999999998</v>
      </c>
      <c r="J40" s="263"/>
      <c r="K40" s="266">
        <f t="shared" si="1"/>
        <v>11399.9908</v>
      </c>
      <c r="L40" s="263"/>
      <c r="M40" s="243"/>
    </row>
    <row r="41" spans="1:13" s="240" customFormat="1" ht="17.399999999999999" customHeight="1" x14ac:dyDescent="0.3">
      <c r="A41" s="230" t="s">
        <v>99</v>
      </c>
      <c r="B41" s="230" t="s">
        <v>79</v>
      </c>
      <c r="C41" s="264">
        <v>1</v>
      </c>
      <c r="D41" s="265">
        <v>3864</v>
      </c>
      <c r="E41" s="230" t="s">
        <v>82</v>
      </c>
      <c r="F41" s="230"/>
      <c r="G41" s="263">
        <v>10330.57</v>
      </c>
      <c r="H41" s="263"/>
      <c r="I41" s="263">
        <f t="shared" si="0"/>
        <v>2169.4196999999999</v>
      </c>
      <c r="J41" s="263"/>
      <c r="K41" s="266">
        <f t="shared" si="1"/>
        <v>12499.9897</v>
      </c>
      <c r="L41" s="263"/>
      <c r="M41" s="243"/>
    </row>
    <row r="42" spans="1:13" s="240" customFormat="1" ht="17.399999999999999" customHeight="1" x14ac:dyDescent="0.3">
      <c r="A42" s="230" t="s">
        <v>99</v>
      </c>
      <c r="B42" s="230" t="s">
        <v>79</v>
      </c>
      <c r="C42" s="264">
        <v>1</v>
      </c>
      <c r="D42" s="265">
        <v>3865</v>
      </c>
      <c r="E42" s="230" t="s">
        <v>82</v>
      </c>
      <c r="F42" s="230"/>
      <c r="G42" s="263">
        <v>9256.19</v>
      </c>
      <c r="H42" s="263"/>
      <c r="I42" s="263">
        <f t="shared" si="0"/>
        <v>1943.7999</v>
      </c>
      <c r="J42" s="263"/>
      <c r="K42" s="266">
        <f t="shared" si="1"/>
        <v>11199.9899</v>
      </c>
      <c r="L42" s="263"/>
      <c r="M42" s="243"/>
    </row>
    <row r="43" spans="1:13" s="240" customFormat="1" ht="17.399999999999999" customHeight="1" x14ac:dyDescent="0.3">
      <c r="A43" s="230" t="s">
        <v>100</v>
      </c>
      <c r="B43" s="230" t="s">
        <v>79</v>
      </c>
      <c r="C43" s="264">
        <v>1</v>
      </c>
      <c r="D43" s="265">
        <v>3866</v>
      </c>
      <c r="E43" s="230" t="s">
        <v>82</v>
      </c>
      <c r="F43" s="230"/>
      <c r="G43" s="263">
        <v>9421.48</v>
      </c>
      <c r="H43" s="263"/>
      <c r="I43" s="263">
        <f t="shared" si="0"/>
        <v>1978.5107999999998</v>
      </c>
      <c r="J43" s="263"/>
      <c r="K43" s="266">
        <f t="shared" si="1"/>
        <v>11399.9908</v>
      </c>
      <c r="L43" s="263"/>
      <c r="M43" s="243"/>
    </row>
    <row r="44" spans="1:13" s="240" customFormat="1" ht="17.399999999999999" customHeight="1" x14ac:dyDescent="0.3">
      <c r="A44" s="230" t="s">
        <v>100</v>
      </c>
      <c r="B44" s="230" t="s">
        <v>79</v>
      </c>
      <c r="C44" s="264">
        <v>1</v>
      </c>
      <c r="D44" s="265">
        <v>3867</v>
      </c>
      <c r="E44" s="230" t="s">
        <v>82</v>
      </c>
      <c r="F44" s="230"/>
      <c r="G44" s="263">
        <v>10330.57</v>
      </c>
      <c r="H44" s="263"/>
      <c r="I44" s="263">
        <f t="shared" si="0"/>
        <v>2169.4196999999999</v>
      </c>
      <c r="J44" s="263"/>
      <c r="K44" s="266">
        <f t="shared" si="1"/>
        <v>12499.9897</v>
      </c>
      <c r="L44" s="263"/>
      <c r="M44" s="243"/>
    </row>
    <row r="45" spans="1:13" s="240" customFormat="1" ht="17.399999999999999" customHeight="1" x14ac:dyDescent="0.3">
      <c r="A45" s="230" t="s">
        <v>100</v>
      </c>
      <c r="B45" s="230" t="s">
        <v>79</v>
      </c>
      <c r="C45" s="264">
        <v>1</v>
      </c>
      <c r="D45" s="265">
        <v>3868</v>
      </c>
      <c r="E45" s="230" t="s">
        <v>82</v>
      </c>
      <c r="F45" s="230"/>
      <c r="G45" s="263">
        <v>8677.67</v>
      </c>
      <c r="H45" s="263"/>
      <c r="I45" s="263">
        <f t="shared" si="0"/>
        <v>1822.3107</v>
      </c>
      <c r="J45" s="263"/>
      <c r="K45" s="266">
        <f t="shared" si="1"/>
        <v>10499.9807</v>
      </c>
      <c r="L45" s="263"/>
      <c r="M45" s="243"/>
    </row>
    <row r="46" spans="1:13" s="240" customFormat="1" ht="17.399999999999999" customHeight="1" x14ac:dyDescent="0.3">
      <c r="A46" s="230" t="s">
        <v>101</v>
      </c>
      <c r="B46" s="230" t="s">
        <v>79</v>
      </c>
      <c r="C46" s="264">
        <v>1</v>
      </c>
      <c r="D46" s="265">
        <v>3869</v>
      </c>
      <c r="E46" s="230" t="s">
        <v>82</v>
      </c>
      <c r="F46" s="230"/>
      <c r="G46" s="263">
        <v>12562</v>
      </c>
      <c r="H46" s="263"/>
      <c r="I46" s="263">
        <f t="shared" si="0"/>
        <v>2638.02</v>
      </c>
      <c r="J46" s="263"/>
      <c r="K46" s="266">
        <f t="shared" si="1"/>
        <v>15200.02</v>
      </c>
      <c r="L46" s="263"/>
      <c r="M46" s="243"/>
    </row>
    <row r="47" spans="1:13" s="240" customFormat="1" ht="17.399999999999999" customHeight="1" x14ac:dyDescent="0.3">
      <c r="A47" s="230" t="s">
        <v>101</v>
      </c>
      <c r="B47" s="230" t="s">
        <v>79</v>
      </c>
      <c r="C47" s="264">
        <v>1</v>
      </c>
      <c r="D47" s="265">
        <v>3870</v>
      </c>
      <c r="E47" s="230" t="s">
        <v>82</v>
      </c>
      <c r="F47" s="230"/>
      <c r="G47" s="263">
        <v>9338.86</v>
      </c>
      <c r="H47" s="263"/>
      <c r="I47" s="263">
        <f t="shared" si="0"/>
        <v>1961.1606000000002</v>
      </c>
      <c r="J47" s="263"/>
      <c r="K47" s="266">
        <f t="shared" si="1"/>
        <v>11300.0206</v>
      </c>
      <c r="L47" s="263"/>
      <c r="M47" s="243"/>
    </row>
    <row r="48" spans="1:13" s="240" customFormat="1" ht="17.399999999999999" customHeight="1" x14ac:dyDescent="0.3">
      <c r="A48" s="230" t="s">
        <v>101</v>
      </c>
      <c r="B48" s="230" t="s">
        <v>79</v>
      </c>
      <c r="C48" s="264">
        <v>1</v>
      </c>
      <c r="D48" s="265">
        <v>3871</v>
      </c>
      <c r="E48" s="230" t="s">
        <v>82</v>
      </c>
      <c r="F48" s="230"/>
      <c r="G48" s="263">
        <v>8016.52</v>
      </c>
      <c r="H48" s="263"/>
      <c r="I48" s="263">
        <f t="shared" si="0"/>
        <v>1683.4692</v>
      </c>
      <c r="J48" s="263"/>
      <c r="K48" s="266">
        <f t="shared" si="1"/>
        <v>9699.9892</v>
      </c>
      <c r="L48" s="263"/>
      <c r="M48" s="243"/>
    </row>
    <row r="49" spans="1:13" s="240" customFormat="1" ht="17.399999999999999" customHeight="1" x14ac:dyDescent="0.3">
      <c r="A49" s="230" t="s">
        <v>102</v>
      </c>
      <c r="B49" s="230" t="s">
        <v>80</v>
      </c>
      <c r="C49" s="264">
        <v>1</v>
      </c>
      <c r="D49" s="265">
        <v>336</v>
      </c>
      <c r="E49" s="230" t="s">
        <v>112</v>
      </c>
      <c r="F49" s="236">
        <v>30718968069</v>
      </c>
      <c r="G49" s="263">
        <v>693500</v>
      </c>
      <c r="H49" s="263"/>
      <c r="I49" s="263">
        <f t="shared" si="0"/>
        <v>145635</v>
      </c>
      <c r="J49" s="263"/>
      <c r="K49" s="266">
        <f t="shared" si="1"/>
        <v>839135</v>
      </c>
      <c r="L49" s="263"/>
      <c r="M49" s="243"/>
    </row>
    <row r="50" spans="1:13" s="240" customFormat="1" ht="17.399999999999999" customHeight="1" x14ac:dyDescent="0.3">
      <c r="A50" s="230" t="s">
        <v>102</v>
      </c>
      <c r="B50" s="230" t="s">
        <v>79</v>
      </c>
      <c r="C50" s="264">
        <v>1</v>
      </c>
      <c r="D50" s="265">
        <v>3873</v>
      </c>
      <c r="E50" s="230" t="s">
        <v>82</v>
      </c>
      <c r="F50" s="230"/>
      <c r="G50" s="263">
        <v>10413.24</v>
      </c>
      <c r="H50" s="263"/>
      <c r="I50" s="263">
        <f t="shared" si="0"/>
        <v>2186.7804000000001</v>
      </c>
      <c r="J50" s="263"/>
      <c r="K50" s="266">
        <f t="shared" si="1"/>
        <v>12600.020399999999</v>
      </c>
      <c r="L50" s="263"/>
      <c r="M50" s="243"/>
    </row>
    <row r="51" spans="1:13" s="240" customFormat="1" ht="17.399999999999999" customHeight="1" x14ac:dyDescent="0.3">
      <c r="A51" s="230" t="s">
        <v>102</v>
      </c>
      <c r="B51" s="230" t="s">
        <v>79</v>
      </c>
      <c r="C51" s="264">
        <v>1</v>
      </c>
      <c r="D51" s="265">
        <v>3874</v>
      </c>
      <c r="E51" s="230" t="s">
        <v>82</v>
      </c>
      <c r="F51" s="230"/>
      <c r="G51" s="263">
        <v>10165.290000000001</v>
      </c>
      <c r="H51" s="263"/>
      <c r="I51" s="263">
        <f t="shared" si="0"/>
        <v>2134.7109</v>
      </c>
      <c r="J51" s="263"/>
      <c r="K51" s="266">
        <f t="shared" si="1"/>
        <v>12300.000900000001</v>
      </c>
      <c r="L51" s="263"/>
      <c r="M51" s="243"/>
    </row>
    <row r="52" spans="1:13" s="240" customFormat="1" ht="17.399999999999999" customHeight="1" x14ac:dyDescent="0.3">
      <c r="A52" s="230" t="s">
        <v>102</v>
      </c>
      <c r="B52" s="230" t="s">
        <v>79</v>
      </c>
      <c r="C52" s="264">
        <v>1</v>
      </c>
      <c r="D52" s="265">
        <v>3872</v>
      </c>
      <c r="E52" s="230" t="s">
        <v>82</v>
      </c>
      <c r="F52" s="230"/>
      <c r="G52" s="263">
        <v>9834.7099999999991</v>
      </c>
      <c r="H52" s="263"/>
      <c r="I52" s="263">
        <f t="shared" si="0"/>
        <v>2065.2891</v>
      </c>
      <c r="J52" s="263"/>
      <c r="K52" s="266">
        <f t="shared" si="1"/>
        <v>11899.999099999999</v>
      </c>
      <c r="L52" s="263"/>
      <c r="M52" s="243"/>
    </row>
    <row r="53" spans="1:13" s="240" customFormat="1" ht="17.399999999999999" customHeight="1" x14ac:dyDescent="0.3">
      <c r="A53" s="230" t="s">
        <v>103</v>
      </c>
      <c r="B53" s="230" t="s">
        <v>79</v>
      </c>
      <c r="C53" s="264">
        <v>1</v>
      </c>
      <c r="D53" s="265">
        <v>3875</v>
      </c>
      <c r="E53" s="230" t="s">
        <v>82</v>
      </c>
      <c r="F53" s="230"/>
      <c r="G53" s="263">
        <v>13636.38</v>
      </c>
      <c r="H53" s="263"/>
      <c r="I53" s="263">
        <f t="shared" si="0"/>
        <v>2863.6397999999999</v>
      </c>
      <c r="J53" s="263"/>
      <c r="K53" s="266">
        <f t="shared" si="1"/>
        <v>16500.019799999998</v>
      </c>
      <c r="L53" s="263"/>
      <c r="M53" s="243"/>
    </row>
    <row r="54" spans="1:13" s="240" customFormat="1" ht="17.399999999999999" customHeight="1" x14ac:dyDescent="0.3">
      <c r="A54" s="230" t="s">
        <v>103</v>
      </c>
      <c r="B54" s="230" t="s">
        <v>79</v>
      </c>
      <c r="C54" s="264">
        <v>1</v>
      </c>
      <c r="D54" s="265">
        <v>3876</v>
      </c>
      <c r="E54" s="230" t="s">
        <v>82</v>
      </c>
      <c r="F54" s="230"/>
      <c r="G54" s="263">
        <v>11157.05</v>
      </c>
      <c r="H54" s="263"/>
      <c r="I54" s="263">
        <f t="shared" si="0"/>
        <v>2342.9804999999997</v>
      </c>
      <c r="J54" s="263"/>
      <c r="K54" s="266">
        <f t="shared" si="1"/>
        <v>13500.030499999999</v>
      </c>
      <c r="L54" s="263"/>
      <c r="M54" s="243"/>
    </row>
    <row r="55" spans="1:13" s="240" customFormat="1" ht="17.399999999999999" customHeight="1" x14ac:dyDescent="0.3">
      <c r="A55" s="230" t="s">
        <v>103</v>
      </c>
      <c r="B55" s="230" t="s">
        <v>79</v>
      </c>
      <c r="C55" s="264">
        <v>1</v>
      </c>
      <c r="D55" s="265">
        <v>3877</v>
      </c>
      <c r="E55" s="230" t="s">
        <v>82</v>
      </c>
      <c r="F55" s="230"/>
      <c r="G55" s="263">
        <v>10413.24</v>
      </c>
      <c r="H55" s="263"/>
      <c r="I55" s="263">
        <f t="shared" si="0"/>
        <v>2186.7804000000001</v>
      </c>
      <c r="J55" s="263"/>
      <c r="K55" s="266">
        <f t="shared" si="1"/>
        <v>12600.020399999999</v>
      </c>
      <c r="L55" s="263"/>
      <c r="M55" s="243"/>
    </row>
    <row r="56" spans="1:13" s="245" customFormat="1" ht="17.399999999999999" customHeight="1" x14ac:dyDescent="0.3">
      <c r="A56" s="230" t="s">
        <v>104</v>
      </c>
      <c r="B56" s="230" t="s">
        <v>79</v>
      </c>
      <c r="C56" s="264">
        <v>1</v>
      </c>
      <c r="D56" s="265">
        <v>3878</v>
      </c>
      <c r="E56" s="230" t="s">
        <v>82</v>
      </c>
      <c r="F56" s="230"/>
      <c r="G56" s="263">
        <v>12148.76</v>
      </c>
      <c r="H56" s="263"/>
      <c r="I56" s="263">
        <f t="shared" si="0"/>
        <v>2551.2395999999999</v>
      </c>
      <c r="J56" s="263"/>
      <c r="K56" s="266">
        <f t="shared" si="1"/>
        <v>14699.999599999999</v>
      </c>
      <c r="L56" s="263"/>
      <c r="M56" s="244"/>
    </row>
    <row r="57" spans="1:13" s="240" customFormat="1" ht="17.399999999999999" customHeight="1" x14ac:dyDescent="0.3">
      <c r="A57" s="230" t="s">
        <v>104</v>
      </c>
      <c r="B57" s="230" t="s">
        <v>79</v>
      </c>
      <c r="C57" s="264">
        <v>1</v>
      </c>
      <c r="D57" s="265">
        <v>3879</v>
      </c>
      <c r="E57" s="230" t="s">
        <v>82</v>
      </c>
      <c r="F57" s="230"/>
      <c r="G57" s="263">
        <v>13057.86</v>
      </c>
      <c r="H57" s="263"/>
      <c r="I57" s="263">
        <f t="shared" si="0"/>
        <v>2742.1505999999999</v>
      </c>
      <c r="J57" s="263"/>
      <c r="K57" s="266">
        <f t="shared" si="1"/>
        <v>15800.010600000001</v>
      </c>
      <c r="L57" s="263"/>
      <c r="M57" s="243"/>
    </row>
    <row r="58" spans="1:13" s="240" customFormat="1" ht="17.399999999999999" customHeight="1" x14ac:dyDescent="0.3">
      <c r="A58" s="230" t="s">
        <v>104</v>
      </c>
      <c r="B58" s="230" t="s">
        <v>79</v>
      </c>
      <c r="C58" s="264">
        <v>1</v>
      </c>
      <c r="D58" s="265">
        <v>3880</v>
      </c>
      <c r="E58" s="230" t="s">
        <v>82</v>
      </c>
      <c r="F58" s="230"/>
      <c r="G58" s="263">
        <v>12148.76</v>
      </c>
      <c r="H58" s="263"/>
      <c r="I58" s="263">
        <f t="shared" si="0"/>
        <v>2551.2395999999999</v>
      </c>
      <c r="J58" s="263"/>
      <c r="K58" s="266">
        <f t="shared" si="1"/>
        <v>14699.999599999999</v>
      </c>
      <c r="L58" s="263"/>
      <c r="M58" s="243"/>
    </row>
    <row r="59" spans="1:13" s="240" customFormat="1" ht="17.399999999999999" customHeight="1" x14ac:dyDescent="0.3">
      <c r="A59" s="230" t="s">
        <v>104</v>
      </c>
      <c r="B59" s="230" t="s">
        <v>79</v>
      </c>
      <c r="C59" s="264">
        <v>1</v>
      </c>
      <c r="D59" s="265">
        <v>3881</v>
      </c>
      <c r="E59" s="230" t="s">
        <v>82</v>
      </c>
      <c r="F59" s="230"/>
      <c r="G59" s="263">
        <v>12148.76</v>
      </c>
      <c r="H59" s="263"/>
      <c r="I59" s="263">
        <f t="shared" si="0"/>
        <v>2551.2395999999999</v>
      </c>
      <c r="J59" s="263"/>
      <c r="K59" s="266">
        <f t="shared" si="1"/>
        <v>14699.999599999999</v>
      </c>
      <c r="L59" s="263"/>
      <c r="M59" s="243"/>
    </row>
    <row r="60" spans="1:13" s="240" customFormat="1" ht="17.399999999999999" customHeight="1" x14ac:dyDescent="0.3">
      <c r="A60" s="230" t="s">
        <v>104</v>
      </c>
      <c r="B60" s="230" t="s">
        <v>79</v>
      </c>
      <c r="C60" s="264">
        <v>1</v>
      </c>
      <c r="D60" s="265">
        <v>3882</v>
      </c>
      <c r="E60" s="230" t="s">
        <v>82</v>
      </c>
      <c r="F60" s="230"/>
      <c r="G60" s="263">
        <v>8925.6200000000008</v>
      </c>
      <c r="H60" s="263"/>
      <c r="I60" s="263">
        <f t="shared" si="0"/>
        <v>1874.3802000000001</v>
      </c>
      <c r="J60" s="263"/>
      <c r="K60" s="266">
        <f t="shared" si="1"/>
        <v>10800.0002</v>
      </c>
      <c r="L60" s="263"/>
      <c r="M60" s="243"/>
    </row>
    <row r="61" spans="1:13" s="240" customFormat="1" ht="17.399999999999999" customHeight="1" x14ac:dyDescent="0.3">
      <c r="A61" s="230" t="s">
        <v>105</v>
      </c>
      <c r="B61" s="230" t="s">
        <v>80</v>
      </c>
      <c r="C61" s="264">
        <v>1</v>
      </c>
      <c r="D61" s="265">
        <v>337</v>
      </c>
      <c r="E61" s="230" t="s">
        <v>81</v>
      </c>
      <c r="F61" s="236">
        <v>30669701639</v>
      </c>
      <c r="G61" s="263">
        <v>2083800</v>
      </c>
      <c r="H61" s="263"/>
      <c r="I61" s="263">
        <f t="shared" si="0"/>
        <v>437598</v>
      </c>
      <c r="J61" s="263"/>
      <c r="K61" s="266">
        <f t="shared" si="1"/>
        <v>2521398</v>
      </c>
      <c r="L61" s="263"/>
      <c r="M61" s="243"/>
    </row>
    <row r="62" spans="1:13" s="240" customFormat="1" ht="17.399999999999999" customHeight="1" x14ac:dyDescent="0.3">
      <c r="A62" s="230" t="s">
        <v>105</v>
      </c>
      <c r="B62" s="230" t="s">
        <v>79</v>
      </c>
      <c r="C62" s="264">
        <v>1</v>
      </c>
      <c r="D62" s="265">
        <v>3883</v>
      </c>
      <c r="E62" s="230" t="s">
        <v>82</v>
      </c>
      <c r="F62" s="230"/>
      <c r="G62" s="263">
        <v>12148.76</v>
      </c>
      <c r="H62" s="263"/>
      <c r="I62" s="263">
        <f t="shared" si="0"/>
        <v>2551.2395999999999</v>
      </c>
      <c r="J62" s="263"/>
      <c r="K62" s="266">
        <f t="shared" si="1"/>
        <v>14699.999599999999</v>
      </c>
      <c r="L62" s="263"/>
      <c r="M62" s="243"/>
    </row>
    <row r="63" spans="1:13" s="240" customFormat="1" ht="17.399999999999999" customHeight="1" x14ac:dyDescent="0.3">
      <c r="A63" s="230" t="s">
        <v>106</v>
      </c>
      <c r="B63" s="230" t="s">
        <v>79</v>
      </c>
      <c r="C63" s="264">
        <v>1</v>
      </c>
      <c r="D63" s="265">
        <v>3885</v>
      </c>
      <c r="E63" s="230" t="s">
        <v>82</v>
      </c>
      <c r="F63" s="230"/>
      <c r="G63" s="263">
        <v>6115.71</v>
      </c>
      <c r="H63" s="263"/>
      <c r="I63" s="263">
        <f t="shared" si="0"/>
        <v>1284.2991</v>
      </c>
      <c r="J63" s="263"/>
      <c r="K63" s="266">
        <f t="shared" si="1"/>
        <v>7400.0091000000002</v>
      </c>
      <c r="L63" s="263"/>
      <c r="M63" s="243"/>
    </row>
    <row r="64" spans="1:13" s="240" customFormat="1" ht="17.399999999999999" customHeight="1" x14ac:dyDescent="0.3">
      <c r="A64" s="230" t="s">
        <v>106</v>
      </c>
      <c r="B64" s="230" t="s">
        <v>79</v>
      </c>
      <c r="C64" s="264">
        <v>1</v>
      </c>
      <c r="D64" s="265">
        <v>3886</v>
      </c>
      <c r="E64" s="230" t="s">
        <v>82</v>
      </c>
      <c r="F64" s="230"/>
      <c r="G64" s="263">
        <v>13884.29</v>
      </c>
      <c r="H64" s="263"/>
      <c r="I64" s="263">
        <f t="shared" si="0"/>
        <v>2915.7009000000003</v>
      </c>
      <c r="J64" s="263"/>
      <c r="K64" s="266">
        <f t="shared" si="1"/>
        <v>16799.990900000001</v>
      </c>
      <c r="L64" s="263"/>
      <c r="M64" s="243"/>
    </row>
    <row r="65" spans="1:13" s="240" customFormat="1" ht="17.399999999999999" customHeight="1" x14ac:dyDescent="0.3">
      <c r="A65" s="230" t="s">
        <v>106</v>
      </c>
      <c r="B65" s="230" t="s">
        <v>79</v>
      </c>
      <c r="C65" s="264">
        <v>1</v>
      </c>
      <c r="D65" s="265">
        <v>3887</v>
      </c>
      <c r="E65" s="230" t="s">
        <v>82</v>
      </c>
      <c r="F65" s="230"/>
      <c r="G65" s="263">
        <v>16363.62</v>
      </c>
      <c r="H65" s="263"/>
      <c r="I65" s="263">
        <f t="shared" si="0"/>
        <v>3436.3602000000001</v>
      </c>
      <c r="J65" s="263"/>
      <c r="K65" s="266">
        <f t="shared" si="1"/>
        <v>19799.980200000002</v>
      </c>
      <c r="L65" s="263"/>
      <c r="M65" s="243"/>
    </row>
    <row r="66" spans="1:13" s="240" customFormat="1" ht="17.399999999999999" customHeight="1" x14ac:dyDescent="0.3">
      <c r="A66" s="230" t="s">
        <v>106</v>
      </c>
      <c r="B66" s="230" t="s">
        <v>79</v>
      </c>
      <c r="C66" s="264">
        <v>1</v>
      </c>
      <c r="D66" s="265">
        <v>3884</v>
      </c>
      <c r="E66" s="230" t="s">
        <v>82</v>
      </c>
      <c r="F66" s="230"/>
      <c r="G66" s="263">
        <v>12148.76</v>
      </c>
      <c r="H66" s="263"/>
      <c r="I66" s="263">
        <f t="shared" si="0"/>
        <v>2551.2395999999999</v>
      </c>
      <c r="J66" s="263"/>
      <c r="K66" s="266">
        <f t="shared" si="1"/>
        <v>14699.999599999999</v>
      </c>
      <c r="L66" s="263"/>
      <c r="M66" s="243"/>
    </row>
    <row r="67" spans="1:13" s="240" customFormat="1" ht="17.399999999999999" customHeight="1" x14ac:dyDescent="0.3">
      <c r="A67" s="230" t="s">
        <v>106</v>
      </c>
      <c r="B67" s="230" t="s">
        <v>79</v>
      </c>
      <c r="C67" s="264">
        <v>1</v>
      </c>
      <c r="D67" s="265">
        <v>3888</v>
      </c>
      <c r="E67" s="230" t="s">
        <v>82</v>
      </c>
      <c r="F67" s="230"/>
      <c r="G67" s="263">
        <v>13140.48</v>
      </c>
      <c r="H67" s="263"/>
      <c r="I67" s="263">
        <f t="shared" si="0"/>
        <v>2759.5007999999998</v>
      </c>
      <c r="J67" s="263"/>
      <c r="K67" s="266">
        <f t="shared" si="1"/>
        <v>15899.980799999999</v>
      </c>
      <c r="L67" s="263"/>
      <c r="M67" s="243"/>
    </row>
    <row r="68" spans="1:13" s="240" customFormat="1" ht="17.399999999999999" customHeight="1" x14ac:dyDescent="0.3">
      <c r="A68" s="230" t="s">
        <v>106</v>
      </c>
      <c r="B68" s="230" t="s">
        <v>79</v>
      </c>
      <c r="C68" s="264">
        <v>1</v>
      </c>
      <c r="D68" s="265">
        <v>3889</v>
      </c>
      <c r="E68" s="230" t="s">
        <v>82</v>
      </c>
      <c r="F68" s="230"/>
      <c r="G68" s="263">
        <v>13057.86</v>
      </c>
      <c r="H68" s="263"/>
      <c r="I68" s="263">
        <f t="shared" si="0"/>
        <v>2742.1505999999999</v>
      </c>
      <c r="J68" s="263"/>
      <c r="K68" s="266">
        <f t="shared" si="1"/>
        <v>15800.010600000001</v>
      </c>
      <c r="L68" s="263"/>
      <c r="M68" s="243"/>
    </row>
    <row r="69" spans="1:13" s="240" customFormat="1" ht="17.399999999999999" customHeight="1" x14ac:dyDescent="0.3">
      <c r="A69" s="230" t="s">
        <v>106</v>
      </c>
      <c r="B69" s="230" t="s">
        <v>79</v>
      </c>
      <c r="C69" s="264">
        <v>1</v>
      </c>
      <c r="D69" s="265">
        <v>3890</v>
      </c>
      <c r="E69" s="230" t="s">
        <v>82</v>
      </c>
      <c r="F69" s="230"/>
      <c r="G69" s="263">
        <v>12148.76</v>
      </c>
      <c r="H69" s="263"/>
      <c r="I69" s="263">
        <f t="shared" si="0"/>
        <v>2551.2395999999999</v>
      </c>
      <c r="J69" s="263"/>
      <c r="K69" s="266">
        <f t="shared" si="1"/>
        <v>14699.999599999999</v>
      </c>
      <c r="L69" s="263"/>
      <c r="M69" s="243"/>
    </row>
    <row r="70" spans="1:13" s="240" customFormat="1" ht="17.399999999999999" customHeight="1" x14ac:dyDescent="0.3">
      <c r="A70" s="230" t="s">
        <v>106</v>
      </c>
      <c r="B70" s="230" t="s">
        <v>79</v>
      </c>
      <c r="C70" s="264">
        <v>1</v>
      </c>
      <c r="D70" s="265">
        <v>3891</v>
      </c>
      <c r="E70" s="230" t="s">
        <v>82</v>
      </c>
      <c r="F70" s="230"/>
      <c r="G70" s="263">
        <v>10247.950000000001</v>
      </c>
      <c r="H70" s="263"/>
      <c r="I70" s="263">
        <f t="shared" si="0"/>
        <v>2152.0695000000001</v>
      </c>
      <c r="J70" s="263"/>
      <c r="K70" s="266">
        <f t="shared" si="1"/>
        <v>12400.0195</v>
      </c>
      <c r="L70" s="263"/>
      <c r="M70" s="243"/>
    </row>
    <row r="71" spans="1:13" s="240" customFormat="1" ht="17.399999999999999" customHeight="1" x14ac:dyDescent="0.3">
      <c r="A71" s="230" t="s">
        <v>107</v>
      </c>
      <c r="B71" s="230" t="s">
        <v>79</v>
      </c>
      <c r="C71" s="264">
        <v>1</v>
      </c>
      <c r="D71" s="265">
        <v>3892</v>
      </c>
      <c r="E71" s="230" t="s">
        <v>82</v>
      </c>
      <c r="F71" s="230"/>
      <c r="G71" s="263">
        <v>9834.7099999999991</v>
      </c>
      <c r="H71" s="263"/>
      <c r="I71" s="263">
        <f t="shared" si="0"/>
        <v>2065.2891</v>
      </c>
      <c r="J71" s="263"/>
      <c r="K71" s="266">
        <f t="shared" si="1"/>
        <v>11899.999099999999</v>
      </c>
      <c r="L71" s="263"/>
      <c r="M71" s="243"/>
    </row>
    <row r="72" spans="1:13" s="240" customFormat="1" ht="17.399999999999999" customHeight="1" x14ac:dyDescent="0.3">
      <c r="A72" s="230" t="s">
        <v>107</v>
      </c>
      <c r="B72" s="230" t="s">
        <v>79</v>
      </c>
      <c r="C72" s="264">
        <v>1</v>
      </c>
      <c r="D72" s="265">
        <v>3893</v>
      </c>
      <c r="E72" s="230" t="s">
        <v>82</v>
      </c>
      <c r="F72" s="230"/>
      <c r="G72" s="263">
        <v>9504.14</v>
      </c>
      <c r="H72" s="263"/>
      <c r="I72" s="263">
        <f t="shared" ref="I72:I88" si="2">G72*(21/100)</f>
        <v>1995.8693999999998</v>
      </c>
      <c r="J72" s="263"/>
      <c r="K72" s="266">
        <f t="shared" ref="K72:K88" si="3">SUM(G72:J72)</f>
        <v>11500.009399999999</v>
      </c>
      <c r="L72" s="263"/>
      <c r="M72" s="243"/>
    </row>
    <row r="73" spans="1:13" s="245" customFormat="1" ht="17.399999999999999" customHeight="1" x14ac:dyDescent="0.3">
      <c r="A73" s="230" t="s">
        <v>107</v>
      </c>
      <c r="B73" s="230" t="s">
        <v>79</v>
      </c>
      <c r="C73" s="264">
        <v>1</v>
      </c>
      <c r="D73" s="265">
        <v>3894</v>
      </c>
      <c r="E73" s="230" t="s">
        <v>82</v>
      </c>
      <c r="F73" s="230"/>
      <c r="G73" s="263">
        <v>12396.71</v>
      </c>
      <c r="H73" s="263"/>
      <c r="I73" s="263">
        <f t="shared" si="2"/>
        <v>2603.3090999999999</v>
      </c>
      <c r="J73" s="263"/>
      <c r="K73" s="266">
        <f t="shared" si="3"/>
        <v>15000.0191</v>
      </c>
      <c r="L73" s="263"/>
      <c r="M73" s="244"/>
    </row>
    <row r="74" spans="1:13" s="240" customFormat="1" ht="17.399999999999999" customHeight="1" x14ac:dyDescent="0.3">
      <c r="A74" s="230" t="s">
        <v>107</v>
      </c>
      <c r="B74" s="230" t="s">
        <v>79</v>
      </c>
      <c r="C74" s="264">
        <v>1</v>
      </c>
      <c r="D74" s="265">
        <v>3895</v>
      </c>
      <c r="E74" s="230" t="s">
        <v>82</v>
      </c>
      <c r="F74" s="230"/>
      <c r="G74" s="263">
        <v>12148.76</v>
      </c>
      <c r="H74" s="263"/>
      <c r="I74" s="263">
        <f t="shared" si="2"/>
        <v>2551.2395999999999</v>
      </c>
      <c r="J74" s="263"/>
      <c r="K74" s="266">
        <f t="shared" si="3"/>
        <v>14699.999599999999</v>
      </c>
      <c r="L74" s="263"/>
      <c r="M74" s="243"/>
    </row>
    <row r="75" spans="1:13" s="240" customFormat="1" ht="17.399999999999999" customHeight="1" x14ac:dyDescent="0.3">
      <c r="A75" s="230" t="s">
        <v>108</v>
      </c>
      <c r="B75" s="230" t="s">
        <v>80</v>
      </c>
      <c r="C75" s="264">
        <v>1</v>
      </c>
      <c r="D75" s="265">
        <v>338</v>
      </c>
      <c r="E75" s="230" t="s">
        <v>112</v>
      </c>
      <c r="F75" s="236">
        <v>30718968069</v>
      </c>
      <c r="G75" s="263">
        <v>648400</v>
      </c>
      <c r="H75" s="263"/>
      <c r="I75" s="263">
        <f t="shared" si="2"/>
        <v>136164</v>
      </c>
      <c r="J75" s="263"/>
      <c r="K75" s="266">
        <f t="shared" si="3"/>
        <v>784564</v>
      </c>
      <c r="L75" s="263"/>
      <c r="M75" s="243"/>
    </row>
    <row r="76" spans="1:13" s="240" customFormat="1" ht="17.399999999999999" customHeight="1" x14ac:dyDescent="0.3">
      <c r="A76" s="230" t="s">
        <v>108</v>
      </c>
      <c r="B76" s="230" t="s">
        <v>79</v>
      </c>
      <c r="C76" s="264">
        <v>1</v>
      </c>
      <c r="D76" s="265">
        <v>3896</v>
      </c>
      <c r="E76" s="230" t="s">
        <v>82</v>
      </c>
      <c r="F76" s="230"/>
      <c r="G76" s="263">
        <v>15289.24</v>
      </c>
      <c r="H76" s="263"/>
      <c r="I76" s="263">
        <f t="shared" si="2"/>
        <v>3210.7403999999997</v>
      </c>
      <c r="J76" s="263"/>
      <c r="K76" s="266">
        <f t="shared" si="3"/>
        <v>18499.9804</v>
      </c>
      <c r="L76" s="263"/>
      <c r="M76" s="243"/>
    </row>
    <row r="77" spans="1:13" s="240" customFormat="1" ht="17.399999999999999" customHeight="1" x14ac:dyDescent="0.3">
      <c r="A77" s="230" t="s">
        <v>108</v>
      </c>
      <c r="B77" s="230" t="s">
        <v>79</v>
      </c>
      <c r="C77" s="264">
        <v>1</v>
      </c>
      <c r="D77" s="265">
        <v>3897</v>
      </c>
      <c r="E77" s="230" t="s">
        <v>82</v>
      </c>
      <c r="F77" s="230"/>
      <c r="G77" s="263">
        <v>16942.14</v>
      </c>
      <c r="H77" s="263"/>
      <c r="I77" s="263">
        <f t="shared" si="2"/>
        <v>3557.8493999999996</v>
      </c>
      <c r="J77" s="263"/>
      <c r="K77" s="266">
        <f t="shared" si="3"/>
        <v>20499.989399999999</v>
      </c>
      <c r="L77" s="263"/>
      <c r="M77" s="243"/>
    </row>
    <row r="78" spans="1:13" s="240" customFormat="1" ht="17.399999999999999" customHeight="1" x14ac:dyDescent="0.3">
      <c r="A78" s="230" t="s">
        <v>108</v>
      </c>
      <c r="B78" s="230" t="s">
        <v>79</v>
      </c>
      <c r="C78" s="264">
        <v>1</v>
      </c>
      <c r="D78" s="265">
        <v>3898</v>
      </c>
      <c r="E78" s="230" t="s">
        <v>82</v>
      </c>
      <c r="F78" s="230"/>
      <c r="G78" s="263">
        <v>10413.24</v>
      </c>
      <c r="H78" s="263"/>
      <c r="I78" s="263">
        <f t="shared" si="2"/>
        <v>2186.7804000000001</v>
      </c>
      <c r="J78" s="263"/>
      <c r="K78" s="266">
        <f t="shared" si="3"/>
        <v>12600.020399999999</v>
      </c>
      <c r="L78" s="263"/>
      <c r="M78" s="243"/>
    </row>
    <row r="79" spans="1:13" s="240" customFormat="1" ht="17.399999999999999" customHeight="1" x14ac:dyDescent="0.3">
      <c r="A79" s="230" t="s">
        <v>108</v>
      </c>
      <c r="B79" s="230" t="s">
        <v>79</v>
      </c>
      <c r="C79" s="264">
        <v>1</v>
      </c>
      <c r="D79" s="265">
        <v>3899</v>
      </c>
      <c r="E79" s="230" t="s">
        <v>82</v>
      </c>
      <c r="F79" s="230"/>
      <c r="G79" s="263">
        <v>12148.76</v>
      </c>
      <c r="H79" s="263"/>
      <c r="I79" s="263">
        <f t="shared" si="2"/>
        <v>2551.2395999999999</v>
      </c>
      <c r="J79" s="263"/>
      <c r="K79" s="266">
        <f t="shared" si="3"/>
        <v>14699.999599999999</v>
      </c>
      <c r="L79" s="263"/>
      <c r="M79" s="243"/>
    </row>
    <row r="80" spans="1:13" s="240" customFormat="1" ht="17.399999999999999" customHeight="1" x14ac:dyDescent="0.3">
      <c r="A80" s="230" t="s">
        <v>108</v>
      </c>
      <c r="B80" s="230" t="s">
        <v>79</v>
      </c>
      <c r="C80" s="264">
        <v>1</v>
      </c>
      <c r="D80" s="265">
        <v>3900</v>
      </c>
      <c r="E80" s="230" t="s">
        <v>82</v>
      </c>
      <c r="F80" s="230"/>
      <c r="G80" s="263">
        <v>9586.76</v>
      </c>
      <c r="H80" s="263"/>
      <c r="I80" s="263">
        <f t="shared" si="2"/>
        <v>2013.2195999999999</v>
      </c>
      <c r="J80" s="263"/>
      <c r="K80" s="266">
        <f t="shared" si="3"/>
        <v>11599.979600000001</v>
      </c>
      <c r="L80" s="263"/>
      <c r="M80" s="243"/>
    </row>
    <row r="81" spans="1:86" s="240" customFormat="1" ht="17.399999999999999" customHeight="1" x14ac:dyDescent="0.3">
      <c r="A81" s="230" t="s">
        <v>109</v>
      </c>
      <c r="B81" s="230" t="s">
        <v>79</v>
      </c>
      <c r="C81" s="264">
        <v>1</v>
      </c>
      <c r="D81" s="265">
        <v>3901</v>
      </c>
      <c r="E81" s="230" t="s">
        <v>82</v>
      </c>
      <c r="F81" s="230"/>
      <c r="G81" s="263">
        <v>10578.52</v>
      </c>
      <c r="H81" s="263"/>
      <c r="I81" s="263">
        <f t="shared" si="2"/>
        <v>2221.4892</v>
      </c>
      <c r="J81" s="263"/>
      <c r="K81" s="266">
        <f t="shared" si="3"/>
        <v>12800.0092</v>
      </c>
      <c r="L81" s="263"/>
      <c r="M81" s="243"/>
    </row>
    <row r="82" spans="1:86" s="240" customFormat="1" ht="17.399999999999999" customHeight="1" x14ac:dyDescent="0.3">
      <c r="A82" s="230" t="s">
        <v>109</v>
      </c>
      <c r="B82" s="230" t="s">
        <v>79</v>
      </c>
      <c r="C82" s="264">
        <v>1</v>
      </c>
      <c r="D82" s="265">
        <v>3902</v>
      </c>
      <c r="E82" s="230" t="s">
        <v>82</v>
      </c>
      <c r="F82" s="230"/>
      <c r="G82" s="263">
        <v>8264.48</v>
      </c>
      <c r="H82" s="263"/>
      <c r="I82" s="263">
        <f t="shared" si="2"/>
        <v>1735.5407999999998</v>
      </c>
      <c r="J82" s="263"/>
      <c r="K82" s="266">
        <f t="shared" si="3"/>
        <v>10000.020799999998</v>
      </c>
      <c r="L82" s="263"/>
      <c r="M82" s="243"/>
    </row>
    <row r="83" spans="1:86" s="240" customFormat="1" ht="17.399999999999999" customHeight="1" x14ac:dyDescent="0.3">
      <c r="A83" s="230" t="s">
        <v>110</v>
      </c>
      <c r="B83" s="230" t="s">
        <v>79</v>
      </c>
      <c r="C83" s="264">
        <v>1</v>
      </c>
      <c r="D83" s="265">
        <v>3903</v>
      </c>
      <c r="E83" s="230" t="s">
        <v>82</v>
      </c>
      <c r="F83" s="230"/>
      <c r="G83" s="263">
        <v>10165.290000000001</v>
      </c>
      <c r="H83" s="263"/>
      <c r="I83" s="263">
        <f t="shared" si="2"/>
        <v>2134.7109</v>
      </c>
      <c r="J83" s="263"/>
      <c r="K83" s="266">
        <f t="shared" si="3"/>
        <v>12300.000900000001</v>
      </c>
      <c r="L83" s="263"/>
      <c r="M83" s="243"/>
    </row>
    <row r="84" spans="1:86" s="240" customFormat="1" ht="17.399999999999999" customHeight="1" x14ac:dyDescent="0.3">
      <c r="A84" s="230" t="s">
        <v>110</v>
      </c>
      <c r="B84" s="230" t="s">
        <v>79</v>
      </c>
      <c r="C84" s="264">
        <v>1</v>
      </c>
      <c r="D84" s="265">
        <v>3904</v>
      </c>
      <c r="E84" s="230" t="s">
        <v>82</v>
      </c>
      <c r="F84" s="230"/>
      <c r="G84" s="263">
        <v>12396.71</v>
      </c>
      <c r="H84" s="263"/>
      <c r="I84" s="263">
        <f t="shared" si="2"/>
        <v>2603.3090999999999</v>
      </c>
      <c r="J84" s="263"/>
      <c r="K84" s="266">
        <f t="shared" si="3"/>
        <v>15000.0191</v>
      </c>
      <c r="L84" s="263"/>
      <c r="M84" s="243"/>
    </row>
    <row r="85" spans="1:86" s="240" customFormat="1" ht="17.399999999999999" customHeight="1" x14ac:dyDescent="0.3">
      <c r="A85" s="230" t="s">
        <v>111</v>
      </c>
      <c r="B85" s="230" t="s">
        <v>79</v>
      </c>
      <c r="C85" s="264">
        <v>1</v>
      </c>
      <c r="D85" s="265">
        <v>3905</v>
      </c>
      <c r="E85" s="230" t="s">
        <v>82</v>
      </c>
      <c r="F85" s="230"/>
      <c r="G85" s="263">
        <v>12975.19</v>
      </c>
      <c r="H85" s="263"/>
      <c r="I85" s="263">
        <f t="shared" si="2"/>
        <v>2724.7899000000002</v>
      </c>
      <c r="J85" s="263"/>
      <c r="K85" s="266">
        <f t="shared" si="3"/>
        <v>15699.9799</v>
      </c>
      <c r="L85" s="263"/>
      <c r="M85" s="243"/>
    </row>
    <row r="86" spans="1:86" s="240" customFormat="1" ht="17.399999999999999" customHeight="1" x14ac:dyDescent="0.3">
      <c r="A86" s="230" t="s">
        <v>111</v>
      </c>
      <c r="B86" s="230" t="s">
        <v>79</v>
      </c>
      <c r="C86" s="264">
        <v>1</v>
      </c>
      <c r="D86" s="265">
        <v>3906</v>
      </c>
      <c r="E86" s="230" t="s">
        <v>82</v>
      </c>
      <c r="F86" s="230"/>
      <c r="G86" s="263">
        <v>9669.43</v>
      </c>
      <c r="H86" s="263"/>
      <c r="I86" s="263">
        <f t="shared" si="2"/>
        <v>2030.5803000000001</v>
      </c>
      <c r="J86" s="263"/>
      <c r="K86" s="266">
        <f t="shared" si="3"/>
        <v>11700.0103</v>
      </c>
      <c r="L86" s="263"/>
      <c r="M86" s="243"/>
    </row>
    <row r="87" spans="1:86" s="242" customFormat="1" ht="17.399999999999999" customHeight="1" x14ac:dyDescent="0.3">
      <c r="A87" s="230" t="s">
        <v>111</v>
      </c>
      <c r="B87" s="230" t="s">
        <v>79</v>
      </c>
      <c r="C87" s="264">
        <v>1</v>
      </c>
      <c r="D87" s="265">
        <v>3907</v>
      </c>
      <c r="E87" s="230" t="s">
        <v>82</v>
      </c>
      <c r="F87" s="230"/>
      <c r="G87" s="263">
        <v>10661.14</v>
      </c>
      <c r="H87" s="263"/>
      <c r="I87" s="263">
        <f t="shared" si="2"/>
        <v>2238.8393999999998</v>
      </c>
      <c r="J87" s="263"/>
      <c r="K87" s="266">
        <f t="shared" si="3"/>
        <v>12899.9794</v>
      </c>
      <c r="L87" s="263"/>
      <c r="M87" s="241"/>
    </row>
    <row r="88" spans="1:86" s="165" customFormat="1" ht="17.399999999999999" customHeight="1" x14ac:dyDescent="0.3">
      <c r="A88" s="263"/>
      <c r="B88" s="263"/>
      <c r="C88" s="264"/>
      <c r="D88" s="265"/>
      <c r="E88" s="263"/>
      <c r="F88" s="263"/>
      <c r="G88" s="263"/>
      <c r="H88" s="263"/>
      <c r="I88" s="263">
        <f t="shared" si="2"/>
        <v>0</v>
      </c>
      <c r="J88" s="263"/>
      <c r="K88" s="266">
        <f t="shared" si="3"/>
        <v>0</v>
      </c>
      <c r="L88" s="263"/>
      <c r="M88" s="237"/>
    </row>
    <row r="89" spans="1:86" s="164" customFormat="1" x14ac:dyDescent="0.3">
      <c r="A89" s="255"/>
      <c r="B89" s="248"/>
      <c r="C89" s="249"/>
      <c r="D89" s="250"/>
      <c r="E89" s="246"/>
      <c r="F89" s="247"/>
      <c r="G89" s="247"/>
      <c r="H89" s="251"/>
      <c r="I89" s="251"/>
      <c r="J89" s="248"/>
      <c r="K89" s="251"/>
      <c r="L89" s="251"/>
      <c r="M89" s="161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162"/>
      <c r="BV89" s="162"/>
      <c r="BW89" s="162"/>
      <c r="BX89" s="162"/>
      <c r="BY89" s="162"/>
      <c r="BZ89" s="162"/>
      <c r="CA89" s="162"/>
      <c r="CB89" s="162"/>
      <c r="CC89" s="162"/>
      <c r="CD89" s="162"/>
      <c r="CE89" s="162"/>
      <c r="CF89" s="162"/>
      <c r="CG89" s="162"/>
      <c r="CH89" s="162"/>
    </row>
    <row r="90" spans="1:86" s="164" customFormat="1" x14ac:dyDescent="0.3">
      <c r="A90" s="256"/>
      <c r="B90" s="248"/>
      <c r="C90" s="249"/>
      <c r="D90" s="250"/>
      <c r="E90" s="252"/>
      <c r="F90" s="251"/>
      <c r="G90" s="251"/>
      <c r="H90" s="251"/>
      <c r="I90" s="251"/>
      <c r="J90" s="248"/>
      <c r="K90" s="251"/>
      <c r="L90" s="251"/>
      <c r="M90" s="161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162"/>
      <c r="BV90" s="162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</row>
    <row r="91" spans="1:86" s="163" customFormat="1" x14ac:dyDescent="0.3">
      <c r="A91" s="257" t="s">
        <v>17</v>
      </c>
      <c r="B91" s="253"/>
      <c r="C91" s="253"/>
      <c r="D91" s="253"/>
      <c r="E91" s="254" t="s">
        <v>18</v>
      </c>
      <c r="F91" s="251"/>
      <c r="G91" s="258">
        <f>SUM(G8:G90)</f>
        <v>10868166.290000001</v>
      </c>
      <c r="H91" s="258">
        <f t="shared" ref="H91:L91" si="4">SUM(H8:H90)</f>
        <v>0</v>
      </c>
      <c r="I91" s="258">
        <f t="shared" si="4"/>
        <v>2282314.9209000012</v>
      </c>
      <c r="J91" s="258">
        <f t="shared" si="4"/>
        <v>0</v>
      </c>
      <c r="K91" s="258">
        <f t="shared" si="4"/>
        <v>13150481.210900007</v>
      </c>
      <c r="L91" s="258">
        <f t="shared" si="4"/>
        <v>0</v>
      </c>
      <c r="M91" s="166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62"/>
      <c r="BC91" s="162"/>
      <c r="BD91" s="162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162"/>
      <c r="BV91" s="162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</row>
    <row r="92" spans="1:86" ht="15" thickBot="1" x14ac:dyDescent="0.35">
      <c r="A92" s="17"/>
      <c r="B92" s="18"/>
      <c r="C92" s="18"/>
      <c r="D92" s="18"/>
      <c r="E92" s="178"/>
      <c r="F92" s="19"/>
      <c r="G92" s="20"/>
      <c r="H92" s="20"/>
      <c r="I92" s="20"/>
      <c r="J92" s="20"/>
      <c r="K92" s="20"/>
      <c r="L92" s="20"/>
      <c r="M92" s="21"/>
    </row>
    <row r="93" spans="1:86" ht="15" thickBot="1" x14ac:dyDescent="0.35">
      <c r="A93" s="22" t="s">
        <v>19</v>
      </c>
      <c r="B93" s="23"/>
      <c r="C93" s="24"/>
      <c r="D93" s="25"/>
      <c r="E93" s="179"/>
      <c r="F93" s="26"/>
      <c r="G93" s="27"/>
      <c r="H93" s="27"/>
      <c r="I93" s="27"/>
      <c r="J93" s="27"/>
      <c r="K93" s="27"/>
      <c r="L93" s="28"/>
      <c r="M93" s="21"/>
    </row>
    <row r="94" spans="1:86" ht="15" thickBot="1" x14ac:dyDescent="0.35">
      <c r="A94" s="29"/>
      <c r="B94" s="6"/>
      <c r="C94" s="7"/>
      <c r="D94" s="8"/>
      <c r="E94" s="180"/>
      <c r="F94" s="30"/>
      <c r="G94" s="31"/>
      <c r="H94" s="32"/>
      <c r="I94" s="10"/>
      <c r="J94" s="33"/>
      <c r="K94" s="10"/>
      <c r="L94" s="34"/>
      <c r="M94" s="21"/>
    </row>
    <row r="95" spans="1:86" x14ac:dyDescent="0.3">
      <c r="A95" s="35"/>
      <c r="B95" s="5"/>
      <c r="C95" s="7"/>
      <c r="D95" s="8"/>
      <c r="E95" s="181"/>
      <c r="F95" s="30"/>
      <c r="G95" s="10"/>
      <c r="H95" s="12"/>
      <c r="I95" s="10"/>
      <c r="J95" s="11"/>
      <c r="K95" s="10"/>
      <c r="L95" s="34"/>
      <c r="M95" s="21"/>
    </row>
    <row r="96" spans="1:86" s="41" customFormat="1" ht="15" thickBot="1" x14ac:dyDescent="0.35">
      <c r="A96" s="36"/>
      <c r="B96" s="37"/>
      <c r="C96" s="37"/>
      <c r="D96" s="37"/>
      <c r="E96" s="182"/>
      <c r="F96" s="38"/>
      <c r="G96" s="39">
        <f>+K96/1.21</f>
        <v>0</v>
      </c>
      <c r="H96" s="39"/>
      <c r="I96" s="39">
        <f>+G96*0.21</f>
        <v>0</v>
      </c>
      <c r="J96" s="39"/>
      <c r="K96" s="39"/>
      <c r="L96" s="40"/>
      <c r="M96" s="21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7"/>
      <c r="BH96" s="157"/>
      <c r="BI96" s="157"/>
      <c r="BJ96" s="157"/>
      <c r="BK96" s="157"/>
      <c r="BL96" s="157"/>
      <c r="BM96" s="157"/>
      <c r="BN96" s="157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</row>
    <row r="97" spans="1:13" ht="15" thickBot="1" x14ac:dyDescent="0.35">
      <c r="A97" s="14" t="s">
        <v>20</v>
      </c>
      <c r="B97" s="15"/>
      <c r="C97" s="15"/>
      <c r="D97" s="15"/>
      <c r="E97" s="183"/>
      <c r="F97" s="42"/>
      <c r="G97" s="16">
        <f>SUM(G94:G96)</f>
        <v>0</v>
      </c>
      <c r="H97" s="16">
        <f>SUM(H94:H96)</f>
        <v>0</v>
      </c>
      <c r="I97" s="16">
        <f>SUM(I94:I96)</f>
        <v>0</v>
      </c>
      <c r="J97" s="16">
        <f>SUM(J94:J96)</f>
        <v>0</v>
      </c>
      <c r="K97" s="16">
        <f>SUM(K94:K96)</f>
        <v>0</v>
      </c>
      <c r="L97" s="16"/>
      <c r="M97" s="21"/>
    </row>
    <row r="98" spans="1:13" x14ac:dyDescent="0.3">
      <c r="A98" s="43"/>
      <c r="B98" s="44"/>
      <c r="C98" s="44"/>
      <c r="D98" s="44"/>
      <c r="E98" s="184"/>
      <c r="F98" s="45"/>
      <c r="G98" s="46"/>
      <c r="H98" s="46"/>
      <c r="I98" s="46"/>
      <c r="J98" s="46"/>
      <c r="K98" s="47"/>
      <c r="L98" s="47"/>
      <c r="M98" s="21"/>
    </row>
    <row r="99" spans="1:13" ht="15" thickBot="1" x14ac:dyDescent="0.35">
      <c r="A99" s="43"/>
      <c r="B99" s="44"/>
      <c r="C99" s="44"/>
      <c r="D99" s="44"/>
      <c r="E99" s="184"/>
      <c r="F99" s="45"/>
      <c r="G99" s="46"/>
      <c r="H99" s="46"/>
      <c r="I99" s="46"/>
      <c r="J99" s="46"/>
      <c r="K99" s="47"/>
      <c r="L99" s="47"/>
      <c r="M99" s="21"/>
    </row>
    <row r="100" spans="1:13" ht="15" thickBot="1" x14ac:dyDescent="0.35">
      <c r="A100" s="48"/>
      <c r="B100" s="49"/>
      <c r="C100" s="49"/>
      <c r="D100" s="49"/>
      <c r="E100" s="179"/>
      <c r="F100" s="50" t="s">
        <v>21</v>
      </c>
      <c r="G100" s="51">
        <f>+G91+G97</f>
        <v>10868166.290000001</v>
      </c>
      <c r="H100" s="51">
        <f>+H91+H97</f>
        <v>0</v>
      </c>
      <c r="I100" s="51">
        <f>+I91+I97</f>
        <v>2282314.9209000012</v>
      </c>
      <c r="J100" s="51">
        <f>+J91+J97</f>
        <v>0</v>
      </c>
      <c r="K100" s="51">
        <f>+K91+K97</f>
        <v>13150481.210900007</v>
      </c>
      <c r="L100" s="51"/>
      <c r="M100" s="21"/>
    </row>
    <row r="101" spans="1:13" x14ac:dyDescent="0.3">
      <c r="A101" s="1"/>
      <c r="B101" s="1"/>
      <c r="C101" s="1"/>
      <c r="D101" s="1"/>
      <c r="E101" s="176"/>
      <c r="F101" s="2"/>
      <c r="G101" s="52"/>
      <c r="H101" s="52"/>
      <c r="I101" s="52"/>
      <c r="J101" s="52"/>
      <c r="K101" s="52"/>
      <c r="L101" s="52"/>
      <c r="M101" s="21"/>
    </row>
    <row r="102" spans="1:13" x14ac:dyDescent="0.3">
      <c r="A102" s="1"/>
      <c r="B102" s="1"/>
      <c r="C102" s="1"/>
      <c r="D102" s="1"/>
      <c r="E102" s="176"/>
      <c r="F102" s="2"/>
      <c r="G102" s="52"/>
      <c r="H102" s="52"/>
      <c r="I102" s="52"/>
      <c r="J102" s="54"/>
      <c r="K102" s="54"/>
      <c r="L102" s="54"/>
      <c r="M102" s="21"/>
    </row>
    <row r="103" spans="1:13" x14ac:dyDescent="0.3">
      <c r="A103" s="53"/>
      <c r="B103" s="53"/>
      <c r="C103" s="53"/>
      <c r="D103" s="53"/>
      <c r="E103" s="176"/>
      <c r="F103" s="2"/>
      <c r="G103" s="55" t="s">
        <v>22</v>
      </c>
      <c r="H103" s="55">
        <f>SUM(H100+I100)</f>
        <v>2282314.9209000012</v>
      </c>
      <c r="I103" s="52"/>
      <c r="J103" s="54"/>
      <c r="K103" s="54"/>
      <c r="L103" s="54"/>
      <c r="M103" s="21"/>
    </row>
    <row r="105" spans="1:13" x14ac:dyDescent="0.3">
      <c r="A105" s="56" t="s">
        <v>23</v>
      </c>
    </row>
  </sheetData>
  <autoFilter ref="A7:L88"/>
  <mergeCells count="1">
    <mergeCell ref="A1:L1"/>
  </mergeCells>
  <pageMargins left="0.70833333333333304" right="0.70833333333333304" top="0.74791666666666701" bottom="0.74791666666666701" header="0.51180555555555496" footer="0.51180555555555496"/>
  <pageSetup paperSize="9" scale="8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Normal="100" workbookViewId="0"/>
  </sheetViews>
  <sheetFormatPr baseColWidth="10" defaultColWidth="10.5546875" defaultRowHeight="14.4" x14ac:dyDescent="0.3"/>
  <cols>
    <col min="3" max="3" width="26.6640625" customWidth="1"/>
    <col min="4" max="4" width="14.109375" customWidth="1"/>
    <col min="6" max="6" width="15.44140625" customWidth="1"/>
    <col min="8" max="8" width="14.5546875" customWidth="1"/>
    <col min="9" max="9" width="13.109375" customWidth="1"/>
    <col min="10" max="10" width="16.88671875" customWidth="1"/>
    <col min="11" max="11" width="8.33203125" customWidth="1"/>
    <col min="12" max="12" width="32.44140625" customWidth="1"/>
  </cols>
  <sheetData>
    <row r="1" spans="1:12" ht="15.6" x14ac:dyDescent="0.3">
      <c r="A1" s="57" t="str">
        <f>+VENTAS!A5</f>
        <v>MES: Enero 2023</v>
      </c>
    </row>
    <row r="2" spans="1:12" x14ac:dyDescent="0.3">
      <c r="A2" s="58" t="s">
        <v>24</v>
      </c>
      <c r="B2" s="58" t="s">
        <v>25</v>
      </c>
      <c r="C2" s="58" t="s">
        <v>26</v>
      </c>
      <c r="D2" s="58" t="s">
        <v>27</v>
      </c>
      <c r="E2" s="58" t="s">
        <v>28</v>
      </c>
      <c r="F2" s="58" t="s">
        <v>29</v>
      </c>
      <c r="G2" s="58" t="s">
        <v>30</v>
      </c>
      <c r="H2" s="58" t="s">
        <v>31</v>
      </c>
      <c r="I2" s="58" t="s">
        <v>32</v>
      </c>
      <c r="J2" s="58" t="s">
        <v>33</v>
      </c>
      <c r="K2" s="58" t="s">
        <v>34</v>
      </c>
      <c r="L2" s="58" t="s">
        <v>35</v>
      </c>
    </row>
    <row r="3" spans="1:12" s="62" customFormat="1" ht="11.4" x14ac:dyDescent="0.2">
      <c r="A3" s="59"/>
      <c r="B3" s="60"/>
      <c r="C3" s="60"/>
      <c r="D3" s="30"/>
      <c r="E3" s="61"/>
      <c r="F3" s="61"/>
      <c r="G3" s="61"/>
      <c r="H3" s="61"/>
      <c r="I3" s="60"/>
      <c r="J3" s="60"/>
      <c r="K3" s="60"/>
      <c r="L3" s="60"/>
    </row>
    <row r="4" spans="1:12" s="62" customFormat="1" ht="11.4" x14ac:dyDescent="0.2">
      <c r="A4" s="59"/>
      <c r="B4" s="60"/>
      <c r="C4" s="60"/>
      <c r="D4" s="30"/>
      <c r="E4" s="31"/>
      <c r="F4" s="61"/>
      <c r="G4" s="60"/>
      <c r="H4" s="61"/>
      <c r="I4" s="60"/>
      <c r="J4" s="60"/>
      <c r="K4" s="60"/>
      <c r="L4" s="60"/>
    </row>
    <row r="5" spans="1:12" s="62" customFormat="1" ht="11.4" x14ac:dyDescent="0.2">
      <c r="A5" s="59"/>
      <c r="B5" s="60"/>
      <c r="C5" s="9"/>
      <c r="D5" s="30"/>
      <c r="E5" s="10"/>
      <c r="F5" s="61"/>
      <c r="G5" s="60"/>
      <c r="H5" s="61"/>
      <c r="I5" s="60"/>
      <c r="J5" s="60"/>
      <c r="K5" s="60"/>
      <c r="L5" s="63"/>
    </row>
    <row r="6" spans="1:12" x14ac:dyDescent="0.3">
      <c r="A6" s="8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x14ac:dyDescent="0.3">
      <c r="A7" s="8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1:12" x14ac:dyDescent="0.3">
      <c r="A8" s="8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spans="1:12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2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1:12" x14ac:dyDescent="0.3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pane ySplit="5" topLeftCell="A6" activePane="bottomLeft" state="frozen"/>
      <selection pane="bottomLeft" activeCell="E25" sqref="E25"/>
    </sheetView>
  </sheetViews>
  <sheetFormatPr baseColWidth="10" defaultColWidth="10.5546875" defaultRowHeight="14.4" x14ac:dyDescent="0.3"/>
  <cols>
    <col min="1" max="1" width="12.109375" customWidth="1"/>
    <col min="3" max="3" width="43.33203125" customWidth="1"/>
    <col min="4" max="4" width="16.88671875" customWidth="1"/>
    <col min="5" max="5" width="15.88671875" customWidth="1"/>
    <col min="6" max="6" width="11.5546875" customWidth="1"/>
    <col min="7" max="7" width="15.6640625" customWidth="1"/>
    <col min="11" max="11" width="16.6640625" customWidth="1"/>
    <col min="12" max="12" width="17.109375" customWidth="1"/>
    <col min="13" max="13" width="16.6640625" customWidth="1"/>
    <col min="14" max="14" width="46.6640625" customWidth="1"/>
  </cols>
  <sheetData>
    <row r="1" spans="1:14" ht="36.75" customHeight="1" x14ac:dyDescent="0.4">
      <c r="A1" s="65" t="s">
        <v>36</v>
      </c>
    </row>
    <row r="2" spans="1:14" ht="25.2" customHeight="1" x14ac:dyDescent="0.4">
      <c r="A2" s="65" t="str">
        <f>+VENTAS!A5</f>
        <v>MES: Enero 2023</v>
      </c>
    </row>
    <row r="3" spans="1:14" ht="26.4" customHeight="1" x14ac:dyDescent="0.3">
      <c r="A3" s="66"/>
    </row>
    <row r="4" spans="1:14" ht="15" customHeight="1" x14ac:dyDescent="0.3">
      <c r="A4" s="278" t="s">
        <v>37</v>
      </c>
      <c r="B4" s="278" t="s">
        <v>25</v>
      </c>
      <c r="C4" s="278" t="s">
        <v>26</v>
      </c>
      <c r="D4" s="278" t="s">
        <v>27</v>
      </c>
      <c r="E4" s="278" t="s">
        <v>28</v>
      </c>
      <c r="F4" s="277" t="s">
        <v>38</v>
      </c>
      <c r="G4" s="277"/>
      <c r="H4" s="277"/>
      <c r="I4" s="277"/>
      <c r="J4" s="277"/>
      <c r="K4" s="278" t="s">
        <v>39</v>
      </c>
      <c r="L4" s="279"/>
      <c r="M4" s="279" t="s">
        <v>40</v>
      </c>
      <c r="N4" s="280" t="s">
        <v>41</v>
      </c>
    </row>
    <row r="5" spans="1:14" x14ac:dyDescent="0.3">
      <c r="A5" s="278"/>
      <c r="B5" s="278"/>
      <c r="C5" s="278"/>
      <c r="D5" s="278"/>
      <c r="E5" s="278"/>
      <c r="F5" s="67" t="s">
        <v>42</v>
      </c>
      <c r="G5" s="67" t="s">
        <v>43</v>
      </c>
      <c r="H5" s="67" t="s">
        <v>44</v>
      </c>
      <c r="I5" s="67" t="s">
        <v>45</v>
      </c>
      <c r="J5" s="67" t="s">
        <v>46</v>
      </c>
      <c r="K5" s="278"/>
      <c r="L5" s="279"/>
      <c r="M5" s="279"/>
      <c r="N5" s="280"/>
    </row>
    <row r="6" spans="1:14" x14ac:dyDescent="0.3">
      <c r="A6" s="13"/>
      <c r="B6" s="68"/>
      <c r="C6" s="69"/>
      <c r="D6" s="13"/>
      <c r="E6" s="70"/>
      <c r="F6" s="70"/>
      <c r="G6" s="70"/>
      <c r="H6" s="70"/>
      <c r="I6" s="70"/>
      <c r="J6" s="70"/>
      <c r="K6" s="70"/>
      <c r="L6" s="70"/>
      <c r="M6" s="13"/>
      <c r="N6" s="13"/>
    </row>
    <row r="7" spans="1:14" x14ac:dyDescent="0.3">
      <c r="A7" s="13"/>
      <c r="B7" s="68"/>
      <c r="C7" s="13"/>
      <c r="E7" s="70"/>
      <c r="F7" s="70"/>
      <c r="G7" s="70"/>
      <c r="H7" s="70"/>
      <c r="I7" s="70"/>
      <c r="J7" s="70"/>
      <c r="K7" s="70"/>
      <c r="L7" s="70"/>
      <c r="M7" s="13"/>
      <c r="N7" s="71"/>
    </row>
    <row r="8" spans="1:14" x14ac:dyDescent="0.3">
      <c r="A8" s="13"/>
      <c r="B8" s="68"/>
      <c r="C8" s="13"/>
      <c r="D8" s="13"/>
      <c r="E8" s="70"/>
      <c r="F8" s="70"/>
      <c r="G8" s="70"/>
      <c r="H8" s="70"/>
      <c r="I8" s="70"/>
      <c r="J8" s="70"/>
      <c r="K8" s="70"/>
      <c r="L8" s="70"/>
      <c r="M8" s="13"/>
      <c r="N8" s="13"/>
    </row>
    <row r="9" spans="1:14" x14ac:dyDescent="0.3">
      <c r="A9" s="13"/>
      <c r="B9" s="68"/>
      <c r="C9" s="13"/>
      <c r="E9" s="70"/>
      <c r="F9" s="70"/>
      <c r="G9" s="70"/>
      <c r="H9" s="70"/>
      <c r="I9" s="70"/>
      <c r="J9" s="70"/>
      <c r="K9" s="70"/>
      <c r="L9" s="70"/>
      <c r="M9" s="13"/>
      <c r="N9" s="13"/>
    </row>
    <row r="10" spans="1:14" x14ac:dyDescent="0.3">
      <c r="A10" s="13"/>
      <c r="B10" s="68"/>
      <c r="C10" s="13"/>
      <c r="D10" s="13"/>
      <c r="E10" s="70"/>
      <c r="F10" s="70"/>
      <c r="G10" s="70"/>
      <c r="H10" s="70"/>
      <c r="I10" s="70"/>
      <c r="J10" s="70"/>
      <c r="K10" s="70"/>
      <c r="L10" s="70"/>
      <c r="M10" s="13"/>
      <c r="N10" s="71"/>
    </row>
    <row r="11" spans="1:14" x14ac:dyDescent="0.3">
      <c r="A11" s="13"/>
      <c r="B11" s="68"/>
      <c r="C11" s="13"/>
      <c r="D11" s="13"/>
      <c r="E11" s="70"/>
      <c r="F11" s="70"/>
      <c r="G11" s="70"/>
      <c r="H11" s="70"/>
      <c r="I11" s="70"/>
      <c r="J11" s="70"/>
      <c r="K11" s="70"/>
      <c r="L11" s="70"/>
      <c r="M11" s="13"/>
      <c r="N11" s="71"/>
    </row>
    <row r="12" spans="1:14" x14ac:dyDescent="0.3">
      <c r="A12" s="13"/>
      <c r="B12" s="68"/>
      <c r="C12" s="13"/>
      <c r="D12" s="13"/>
      <c r="E12" s="70"/>
      <c r="F12" s="70"/>
      <c r="G12" s="70"/>
      <c r="H12" s="70"/>
      <c r="I12" s="70"/>
      <c r="J12" s="70"/>
      <c r="K12" s="70"/>
      <c r="L12" s="70"/>
      <c r="M12" s="13"/>
      <c r="N12" s="71"/>
    </row>
    <row r="13" spans="1:14" x14ac:dyDescent="0.3">
      <c r="A13" s="13"/>
      <c r="B13" s="68"/>
      <c r="C13" s="13"/>
      <c r="D13" s="13"/>
      <c r="E13" s="70"/>
      <c r="F13" s="70"/>
      <c r="G13" s="70"/>
      <c r="H13" s="70"/>
      <c r="I13" s="70"/>
      <c r="J13" s="70"/>
      <c r="K13" s="70"/>
      <c r="L13" s="70"/>
      <c r="M13" s="13"/>
      <c r="N13" s="71"/>
    </row>
    <row r="14" spans="1:14" x14ac:dyDescent="0.3">
      <c r="A14" s="13"/>
      <c r="B14" s="68"/>
      <c r="C14" s="13"/>
      <c r="D14" s="13"/>
      <c r="E14" s="70"/>
      <c r="F14" s="70"/>
      <c r="G14" s="70"/>
      <c r="H14" s="70"/>
      <c r="I14" s="70"/>
      <c r="J14" s="70"/>
      <c r="K14" s="70"/>
      <c r="L14" s="70"/>
      <c r="M14" s="13"/>
      <c r="N14" s="13"/>
    </row>
    <row r="15" spans="1:14" x14ac:dyDescent="0.3">
      <c r="A15" s="13"/>
      <c r="B15" s="13"/>
      <c r="C15" s="13"/>
      <c r="D15" s="13"/>
      <c r="E15" s="70"/>
      <c r="F15" s="70"/>
      <c r="G15" s="70"/>
      <c r="H15" s="70"/>
      <c r="I15" s="70"/>
      <c r="J15" s="70"/>
      <c r="K15" s="70"/>
      <c r="L15" s="70"/>
      <c r="M15" s="13"/>
      <c r="N15" s="13"/>
    </row>
    <row r="16" spans="1:14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70" t="s">
        <v>47</v>
      </c>
      <c r="M16" s="13"/>
      <c r="N16" s="13"/>
    </row>
    <row r="17" spans="1:14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70" t="s">
        <v>47</v>
      </c>
      <c r="M17" s="13"/>
      <c r="N17" s="13"/>
    </row>
    <row r="18" spans="1:14" x14ac:dyDescent="0.3">
      <c r="C18" t="s">
        <v>48</v>
      </c>
      <c r="E18" s="72">
        <f t="shared" ref="E18:J18" si="0">SUM(E7:E17)</f>
        <v>0</v>
      </c>
      <c r="F18" s="72">
        <f t="shared" si="0"/>
        <v>0</v>
      </c>
      <c r="G18" s="72">
        <f t="shared" si="0"/>
        <v>0</v>
      </c>
      <c r="H18" s="72">
        <f t="shared" si="0"/>
        <v>0</v>
      </c>
      <c r="I18" s="72">
        <f t="shared" si="0"/>
        <v>0</v>
      </c>
      <c r="J18" s="72">
        <f t="shared" si="0"/>
        <v>0</v>
      </c>
      <c r="K18" s="72" t="s">
        <v>47</v>
      </c>
    </row>
  </sheetData>
  <mergeCells count="10">
    <mergeCell ref="A4:A5"/>
    <mergeCell ref="B4:B5"/>
    <mergeCell ref="C4:C5"/>
    <mergeCell ref="D4:D5"/>
    <mergeCell ref="E4:E5"/>
    <mergeCell ref="F4:J4"/>
    <mergeCell ref="K4:K5"/>
    <mergeCell ref="L4:L5"/>
    <mergeCell ref="M4:M5"/>
    <mergeCell ref="N4:N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Normal="100" workbookViewId="0">
      <selection activeCell="E10" sqref="E10:E11"/>
    </sheetView>
  </sheetViews>
  <sheetFormatPr baseColWidth="10" defaultColWidth="10.5546875" defaultRowHeight="14.4" x14ac:dyDescent="0.3"/>
  <cols>
    <col min="1" max="21" width="17.109375" customWidth="1"/>
  </cols>
  <sheetData>
    <row r="1" spans="1:21" x14ac:dyDescent="0.3">
      <c r="A1" s="281" t="str">
        <f>+VENTAS!A5</f>
        <v>MES: Enero 2023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</row>
    <row r="2" spans="1:21" x14ac:dyDescent="0.3">
      <c r="A2" s="81" t="s">
        <v>4</v>
      </c>
      <c r="B2" s="81" t="s">
        <v>5</v>
      </c>
      <c r="C2" s="81" t="s">
        <v>6</v>
      </c>
      <c r="D2" s="81" t="s">
        <v>54</v>
      </c>
      <c r="E2" s="81" t="s">
        <v>55</v>
      </c>
      <c r="F2" s="82" t="s">
        <v>56</v>
      </c>
      <c r="G2" s="83" t="s">
        <v>57</v>
      </c>
      <c r="H2" s="84" t="s">
        <v>58</v>
      </c>
      <c r="I2" s="84" t="s">
        <v>59</v>
      </c>
      <c r="J2" s="85" t="s">
        <v>60</v>
      </c>
      <c r="K2" s="85" t="s">
        <v>61</v>
      </c>
      <c r="L2" s="84" t="s">
        <v>62</v>
      </c>
      <c r="M2" s="86" t="s">
        <v>63</v>
      </c>
      <c r="N2" s="86" t="s">
        <v>64</v>
      </c>
      <c r="O2" s="86" t="s">
        <v>65</v>
      </c>
      <c r="P2" s="83" t="s">
        <v>66</v>
      </c>
      <c r="Q2" s="83" t="s">
        <v>67</v>
      </c>
      <c r="R2" s="83" t="s">
        <v>14</v>
      </c>
      <c r="S2" s="86" t="s">
        <v>16</v>
      </c>
      <c r="T2" s="86"/>
      <c r="U2" s="87"/>
    </row>
    <row r="3" spans="1:21" s="73" customFormat="1" x14ac:dyDescent="0.3">
      <c r="A3" s="88"/>
      <c r="B3" s="6"/>
      <c r="C3" s="7"/>
      <c r="D3" s="8"/>
      <c r="E3" s="6"/>
      <c r="F3" s="80"/>
      <c r="G3" s="6"/>
      <c r="H3" s="6"/>
      <c r="I3" s="6"/>
      <c r="J3" s="75"/>
      <c r="K3" s="74"/>
      <c r="L3" s="74"/>
      <c r="M3" s="76"/>
      <c r="N3" s="76"/>
      <c r="O3" s="76"/>
      <c r="P3" s="76"/>
      <c r="Q3" s="77"/>
      <c r="R3" s="78"/>
      <c r="S3" s="79"/>
    </row>
    <row r="4" spans="1:2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</sheetData>
  <mergeCells count="1">
    <mergeCell ref="A1:U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COMPRAS</vt:lpstr>
      <vt:lpstr>VENTAS</vt:lpstr>
      <vt:lpstr>A COBRAR</vt:lpstr>
      <vt:lpstr>RECIBOS CLI</vt:lpstr>
      <vt:lpstr>A PAGAR</vt:lpstr>
      <vt:lpstr>VENTAS!Área_de_impresión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Nextron</dc:creator>
  <dc:description/>
  <cp:lastModifiedBy>Josefina Urquiza</cp:lastModifiedBy>
  <cp:revision>1</cp:revision>
  <cp:lastPrinted>2017-06-01T19:44:56Z</cp:lastPrinted>
  <dcterms:created xsi:type="dcterms:W3CDTF">2016-09-20T18:22:38Z</dcterms:created>
  <dcterms:modified xsi:type="dcterms:W3CDTF">2026-07-07T20:52:04Z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