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sefina\Proyectos\Datascience\Power-BI\PrimeraPrueba\data\"/>
    </mc:Choice>
  </mc:AlternateContent>
  <bookViews>
    <workbookView xWindow="0" yWindow="0" windowWidth="28800" windowHeight="12144" tabRatio="481" activeTab="1"/>
  </bookViews>
  <sheets>
    <sheet name="compras" sheetId="6" r:id="rId1"/>
    <sheet name="ventas" sheetId="1" r:id="rId2"/>
    <sheet name="cheques emitidos" sheetId="2" r:id="rId3"/>
  </sheets>
  <definedNames>
    <definedName name="_xlnm._FilterDatabase" localSheetId="0" hidden="1">compras!$A$7:$S$72</definedName>
    <definedName name="_xlnm._FilterDatabase" localSheetId="1" hidden="1">ventas!$A$7:$L$72</definedName>
    <definedName name="_xlnm.Print_Area" localSheetId="1">ventas!$A$1:$K$74</definedName>
  </definedNames>
  <calcPr calcId="162913"/>
</workbook>
</file>

<file path=xl/calcChain.xml><?xml version="1.0" encoding="utf-8"?>
<calcChain xmlns="http://schemas.openxmlformats.org/spreadsheetml/2006/main">
  <c r="L62" i="6" l="1"/>
  <c r="R62" i="6" s="1"/>
  <c r="L63" i="6"/>
  <c r="R63" i="6" s="1"/>
  <c r="L64" i="6"/>
  <c r="R64" i="6" s="1"/>
  <c r="L65" i="6"/>
  <c r="R65" i="6" s="1"/>
  <c r="L66" i="6"/>
  <c r="R66" i="6" s="1"/>
  <c r="L67" i="6"/>
  <c r="R67" i="6" s="1"/>
  <c r="L68" i="6"/>
  <c r="R68" i="6" s="1"/>
  <c r="L69" i="6"/>
  <c r="R69" i="6" s="1"/>
  <c r="L70" i="6"/>
  <c r="R70" i="6" s="1"/>
  <c r="L71" i="6"/>
  <c r="R71" i="6" s="1"/>
  <c r="L72" i="6"/>
  <c r="R72" i="6" s="1"/>
  <c r="L59" i="6" l="1"/>
  <c r="R59" i="6" s="1"/>
  <c r="L57" i="6"/>
  <c r="R57" i="6" s="1"/>
  <c r="L18" i="1" l="1"/>
  <c r="R18" i="1" s="1"/>
  <c r="L19" i="1"/>
  <c r="R19" i="1" s="1"/>
  <c r="L20" i="1"/>
  <c r="R20" i="1" s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L45" i="1"/>
  <c r="R45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R16" i="1" s="1"/>
  <c r="L17" i="1"/>
  <c r="R17" i="1" s="1"/>
  <c r="L46" i="1"/>
  <c r="R46" i="1" s="1"/>
  <c r="L47" i="1"/>
  <c r="R47" i="1" s="1"/>
  <c r="L48" i="1"/>
  <c r="R48" i="1" s="1"/>
  <c r="L49" i="1"/>
  <c r="R49" i="1" s="1"/>
  <c r="L50" i="1"/>
  <c r="R50" i="1" s="1"/>
  <c r="L51" i="1"/>
  <c r="R51" i="1" s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L58" i="1"/>
  <c r="R58" i="1" s="1"/>
  <c r="L59" i="1"/>
  <c r="R59" i="1" s="1"/>
  <c r="L60" i="1"/>
  <c r="R60" i="1" s="1"/>
  <c r="L61" i="1"/>
  <c r="R61" i="1" s="1"/>
  <c r="L62" i="1"/>
  <c r="R62" i="1" s="1"/>
  <c r="L63" i="1"/>
  <c r="R63" i="1" s="1"/>
  <c r="L64" i="1"/>
  <c r="R64" i="1" s="1"/>
  <c r="L65" i="1"/>
  <c r="R65" i="1" s="1"/>
  <c r="L66" i="1"/>
  <c r="R66" i="1" s="1"/>
  <c r="L67" i="1"/>
  <c r="R67" i="1" s="1"/>
  <c r="L68" i="1"/>
  <c r="R68" i="1" s="1"/>
  <c r="L69" i="1"/>
  <c r="R69" i="1" s="1"/>
  <c r="L70" i="1"/>
  <c r="R70" i="1" s="1"/>
  <c r="L71" i="1"/>
  <c r="R71" i="1" s="1"/>
  <c r="L72" i="1"/>
  <c r="R72" i="1" s="1"/>
  <c r="L8" i="1"/>
  <c r="R8" i="1" s="1"/>
  <c r="L29" i="6" l="1"/>
  <c r="R29" i="6" s="1"/>
  <c r="L30" i="6"/>
  <c r="R30" i="6" s="1"/>
  <c r="L31" i="6"/>
  <c r="R31" i="6" s="1"/>
  <c r="L32" i="6"/>
  <c r="R32" i="6" s="1"/>
  <c r="L33" i="6"/>
  <c r="R33" i="6" s="1"/>
  <c r="L34" i="6"/>
  <c r="R34" i="6" s="1"/>
  <c r="L35" i="6"/>
  <c r="R35" i="6" s="1"/>
  <c r="L36" i="6"/>
  <c r="R36" i="6" s="1"/>
  <c r="L37" i="6"/>
  <c r="R37" i="6" s="1"/>
  <c r="L38" i="6"/>
  <c r="R38" i="6" s="1"/>
  <c r="L49" i="6" l="1"/>
  <c r="R49" i="6" s="1"/>
  <c r="L58" i="6"/>
  <c r="R58" i="6" s="1"/>
  <c r="L56" i="6"/>
  <c r="R56" i="6" s="1"/>
  <c r="L55" i="6"/>
  <c r="R55" i="6" s="1"/>
  <c r="L54" i="6"/>
  <c r="R54" i="6" s="1"/>
  <c r="L53" i="6"/>
  <c r="R53" i="6" s="1"/>
  <c r="L51" i="6"/>
  <c r="R51" i="6" s="1"/>
  <c r="L47" i="6"/>
  <c r="R47" i="6" s="1"/>
  <c r="L27" i="6" l="1"/>
  <c r="R27" i="6" s="1"/>
  <c r="L42" i="6"/>
  <c r="R42" i="6" s="1"/>
  <c r="L28" i="6"/>
  <c r="R28" i="6" s="1"/>
  <c r="L43" i="6"/>
  <c r="R43" i="6" s="1"/>
  <c r="L16" i="6"/>
  <c r="R16" i="6" s="1"/>
  <c r="L41" i="6"/>
  <c r="R41" i="6" s="1"/>
  <c r="L44" i="6"/>
  <c r="R44" i="6" s="1"/>
  <c r="L46" i="6"/>
  <c r="R46" i="6" s="1"/>
  <c r="L48" i="6"/>
  <c r="R48" i="6" s="1"/>
  <c r="L45" i="6"/>
  <c r="R45" i="6" s="1"/>
  <c r="L13" i="6"/>
  <c r="R13" i="6" s="1"/>
  <c r="L52" i="6"/>
  <c r="R52" i="6" s="1"/>
  <c r="L50" i="6"/>
  <c r="R50" i="6" s="1"/>
  <c r="L39" i="6"/>
  <c r="R39" i="6" s="1"/>
  <c r="L60" i="6"/>
  <c r="R60" i="6" s="1"/>
  <c r="L61" i="6"/>
  <c r="R61" i="6" s="1"/>
  <c r="L15" i="6" l="1"/>
  <c r="R15" i="6" s="1"/>
  <c r="L19" i="6"/>
  <c r="R19" i="6" s="1"/>
  <c r="L20" i="6"/>
  <c r="R20" i="6" s="1"/>
  <c r="L9" i="6"/>
  <c r="R9" i="6" s="1"/>
  <c r="L14" i="6"/>
  <c r="R14" i="6" s="1"/>
  <c r="L11" i="6"/>
  <c r="R11" i="6" s="1"/>
  <c r="L17" i="6"/>
  <c r="R17" i="6" s="1"/>
  <c r="L23" i="6"/>
  <c r="R23" i="6" s="1"/>
  <c r="L24" i="6"/>
  <c r="R24" i="6" s="1"/>
  <c r="L22" i="6"/>
  <c r="R22" i="6" s="1"/>
  <c r="L25" i="6"/>
  <c r="R25" i="6" s="1"/>
  <c r="L26" i="6"/>
  <c r="R26" i="6" s="1"/>
  <c r="L12" i="6"/>
  <c r="R12" i="6" s="1"/>
  <c r="L10" i="6"/>
  <c r="R10" i="6" s="1"/>
  <c r="L40" i="6"/>
  <c r="R40" i="6" s="1"/>
  <c r="L21" i="6"/>
  <c r="R21" i="6" s="1"/>
  <c r="L18" i="6"/>
  <c r="R18" i="6" s="1"/>
  <c r="L8" i="6" l="1"/>
  <c r="R8" i="6" s="1"/>
</calcChain>
</file>

<file path=xl/sharedStrings.xml><?xml version="1.0" encoding="utf-8"?>
<sst xmlns="http://schemas.openxmlformats.org/spreadsheetml/2006/main" count="737" uniqueCount="110">
  <si>
    <t>LIBRO IVA VENTAS</t>
  </si>
  <si>
    <t xml:space="preserve">Razon Social: </t>
  </si>
  <si>
    <t>ISLA ECOLOGICA S.A.</t>
  </si>
  <si>
    <t>CUIT: 30-71543101-3</t>
  </si>
  <si>
    <t>Fecha</t>
  </si>
  <si>
    <t>Tipo Compr.</t>
  </si>
  <si>
    <t>Punto de venta</t>
  </si>
  <si>
    <t>Total</t>
  </si>
  <si>
    <t>CUIT</t>
  </si>
  <si>
    <t>LIBRO IVA COMPRAS</t>
  </si>
  <si>
    <t>RAZON SOCIAL:</t>
  </si>
  <si>
    <t>ISLA ECOLOGICA SA</t>
  </si>
  <si>
    <t>Hoja Nº:</t>
  </si>
  <si>
    <t>CUIT:  30-71543101-3</t>
  </si>
  <si>
    <t>Nº Compr.</t>
  </si>
  <si>
    <t>Razon Social</t>
  </si>
  <si>
    <t>Cuit</t>
  </si>
  <si>
    <t>Condición</t>
  </si>
  <si>
    <t>Concepto</t>
  </si>
  <si>
    <t>Forma de Pago</t>
  </si>
  <si>
    <t>Neto Gravado</t>
  </si>
  <si>
    <t>Iva % 10,5</t>
  </si>
  <si>
    <t xml:space="preserve">Iva % 21 </t>
  </si>
  <si>
    <t>Iva 27%</t>
  </si>
  <si>
    <t>IVA 3%</t>
  </si>
  <si>
    <t>Perc. IIBB</t>
  </si>
  <si>
    <t>Perc. Munic.</t>
  </si>
  <si>
    <t>No Gravado y Exento</t>
  </si>
  <si>
    <t>RI</t>
  </si>
  <si>
    <t>MES: Enero 2023</t>
  </si>
  <si>
    <t>MES:Abril 2023</t>
  </si>
  <si>
    <t>A</t>
  </si>
  <si>
    <t>EPEC</t>
  </si>
  <si>
    <t>30-99902748-9</t>
  </si>
  <si>
    <t>30-61415063-3</t>
  </si>
  <si>
    <t>30-70889578-0</t>
  </si>
  <si>
    <t>30-71691301-1</t>
  </si>
  <si>
    <t>30-64831907-6</t>
  </si>
  <si>
    <t>BAGLEY ARGENTINA S. A.</t>
  </si>
  <si>
    <t>LX ARGENTINA S.A.</t>
  </si>
  <si>
    <t>Oil Petro Salsipuedes S.A.</t>
  </si>
  <si>
    <t>LUCAM S A</t>
  </si>
  <si>
    <t>San Urbano</t>
  </si>
  <si>
    <t xml:space="preserve"> Factura A</t>
  </si>
  <si>
    <t xml:space="preserve"> Factura B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</si>
  <si>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</si>
  <si>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</si>
  <si>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</si>
  <si>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</si>
  <si>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</si>
  <si>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</si>
  <si>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</si>
  <si>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</si>
  <si>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</si>
  <si>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</si>
  <si>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</si>
  <si>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</si>
  <si>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</si>
  <si>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</si>
  <si>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</si>
  <si>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</si>
  <si>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</si>
  <si>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</si>
  <si>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</si>
  <si>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</si>
  <si>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28/02/2026</t>
  </si>
  <si>
    <t>QUITAM S A</t>
  </si>
  <si>
    <t>GRUPO RFG SRL</t>
  </si>
  <si>
    <t>Consumidor final</t>
  </si>
  <si>
    <t>JACRIMAR SAS</t>
  </si>
  <si>
    <t>30-71543101-3</t>
  </si>
  <si>
    <t>30-66970163-9</t>
  </si>
  <si>
    <t>La factura final con todos los impuestos fue de $ 330.863,40</t>
  </si>
  <si>
    <t>TASSI IVAN DARIO</t>
  </si>
  <si>
    <t>Nota de Crédito A</t>
  </si>
  <si>
    <t>20-24841139-3</t>
  </si>
  <si>
    <t>20-24841139-4</t>
  </si>
  <si>
    <t>20-24841139-5</t>
  </si>
  <si>
    <t>20-24841139-6</t>
  </si>
  <si>
    <t>20-24841139-7</t>
  </si>
  <si>
    <t>20-24841139-8</t>
  </si>
  <si>
    <t>20-24841139-9</t>
  </si>
  <si>
    <t>20-24841139-10</t>
  </si>
  <si>
    <t>20-24841139-11</t>
  </si>
  <si>
    <t>20-24841139-12</t>
  </si>
  <si>
    <t>20-24841139-13</t>
  </si>
  <si>
    <t>Tipo</t>
  </si>
  <si>
    <t>N° Cheque</t>
  </si>
  <si>
    <t>Hay factura?</t>
  </si>
  <si>
    <t>Cobrado</t>
  </si>
  <si>
    <t>Alquiler deposito</t>
  </si>
  <si>
    <t>Cheque fisico</t>
  </si>
  <si>
    <t>NO</t>
  </si>
  <si>
    <t>SI</t>
  </si>
  <si>
    <t>Echeq</t>
  </si>
  <si>
    <t>$1.000.000</t>
  </si>
  <si>
    <t>Tassi Ivan Dario</t>
  </si>
  <si>
    <t>Sindicato</t>
  </si>
  <si>
    <t>Alquiler</t>
  </si>
  <si>
    <t>Jacrimar SAS</t>
  </si>
  <si>
    <t>30-71581464-8</t>
  </si>
  <si>
    <t>Combustible</t>
  </si>
  <si>
    <t>Electricidad</t>
  </si>
  <si>
    <t>Ferretería</t>
  </si>
  <si>
    <t>Materiales</t>
  </si>
  <si>
    <t>Tipo cheque</t>
  </si>
  <si>
    <t>Monto</t>
  </si>
  <si>
    <t>Transferencia</t>
  </si>
  <si>
    <t>Cheque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</si>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</sst>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\ #,##0.00;[Red]\-&quot;$&quot;\ #,##0.00"/>
    <numFmt numFmtId="164" formatCode="m/d/yyyy"/>
    <numFmt numFmtId="165" formatCode="0000"/>
    <numFmt numFmtId="166" formatCode="00000000"/>
    <numFmt numFmtId="168" formatCode="dd/mm/yy;@"/>
  </numFmts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Bookman Old Style"/>
      <family val="1"/>
    </font>
    <font>
      <b/>
      <u/>
      <sz val="14"/>
      <name val="Bookman Old Style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6" fillId="0" borderId="0"/>
    <xf numFmtId="0" fontId="5" fillId="0" borderId="0"/>
    <xf numFmtId="0" fontId="10" fillId="0" borderId="0"/>
    <xf numFmtId="0" fontId="14" fillId="0" borderId="0"/>
    <xf numFmtId="0" fontId="4" fillId="0" borderId="0"/>
    <xf numFmtId="0" fontId="15" fillId="0" borderId="0"/>
    <xf numFmtId="0" fontId="16" fillId="0" borderId="0"/>
  </cellStyleXfs>
  <cellXfs count="95">
    <xf numFmtId="0" fontId="0" fillId="0" borderId="0" xfId="0"/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17" fontId="8" fillId="0" borderId="0" xfId="1" applyNumberFormat="1" applyFont="1" applyAlignment="1">
      <alignment horizontal="left"/>
    </xf>
    <xf numFmtId="164" fontId="6" fillId="0" borderId="0" xfId="1" applyNumberFormat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"/>
    </xf>
    <xf numFmtId="4" fontId="6" fillId="0" borderId="0" xfId="1" applyNumberFormat="1" applyFont="1" applyBorder="1" applyAlignment="1">
      <alignment horizontal="left"/>
    </xf>
    <xf numFmtId="0" fontId="6" fillId="0" borderId="0" xfId="1" applyFont="1" applyBorder="1"/>
    <xf numFmtId="0" fontId="0" fillId="0" borderId="0" xfId="0"/>
    <xf numFmtId="0" fontId="5" fillId="0" borderId="0" xfId="2" applyFill="1" applyAlignment="1"/>
    <xf numFmtId="0" fontId="5" fillId="0" borderId="0" xfId="2" applyFill="1" applyAlignment="1">
      <alignment horizontal="left"/>
    </xf>
    <xf numFmtId="0" fontId="5" fillId="0" borderId="0" xfId="2" applyFill="1" applyAlignment="1">
      <alignment horizontal="right"/>
    </xf>
    <xf numFmtId="0" fontId="5" fillId="0" borderId="0" xfId="2" applyNumberFormat="1" applyFill="1" applyAlignment="1"/>
    <xf numFmtId="0" fontId="5" fillId="0" borderId="0" xfId="2" applyFill="1" applyBorder="1" applyAlignment="1"/>
    <xf numFmtId="0" fontId="5" fillId="0" borderId="0" xfId="2" applyFill="1" applyAlignment="1">
      <alignment horizontal="center"/>
    </xf>
    <xf numFmtId="0" fontId="5" fillId="0" borderId="0" xfId="2" applyNumberFormat="1" applyFill="1" applyAlignment="1">
      <alignment horizontal="center"/>
    </xf>
    <xf numFmtId="0" fontId="9" fillId="0" borderId="0" xfId="2" applyFont="1" applyFill="1" applyAlignment="1"/>
    <xf numFmtId="4" fontId="5" fillId="0" borderId="0" xfId="2" applyNumberFormat="1" applyFill="1" applyAlignment="1"/>
    <xf numFmtId="4" fontId="5" fillId="0" borderId="0" xfId="2" applyNumberFormat="1" applyFill="1" applyAlignment="1">
      <alignment horizontal="left"/>
    </xf>
    <xf numFmtId="0" fontId="10" fillId="0" borderId="0" xfId="2" applyFont="1" applyFill="1" applyAlignment="1"/>
    <xf numFmtId="17" fontId="5" fillId="0" borderId="0" xfId="2" applyNumberFormat="1" applyFill="1" applyAlignment="1"/>
    <xf numFmtId="0" fontId="12" fillId="0" borderId="0" xfId="2" applyFont="1" applyFill="1" applyAlignment="1">
      <alignment horizontal="right"/>
    </xf>
    <xf numFmtId="0" fontId="9" fillId="0" borderId="0" xfId="2" applyNumberFormat="1" applyFont="1" applyFill="1" applyAlignment="1">
      <alignment horizontal="center"/>
    </xf>
    <xf numFmtId="0" fontId="0" fillId="0" borderId="0" xfId="0" applyBorder="1"/>
    <xf numFmtId="1" fontId="0" fillId="0" borderId="0" xfId="0" applyNumberFormat="1"/>
    <xf numFmtId="2" fontId="0" fillId="0" borderId="0" xfId="0" applyNumberFormat="1"/>
    <xf numFmtId="0" fontId="11" fillId="0" borderId="0" xfId="2" applyFont="1" applyFill="1" applyBorder="1" applyAlignment="1"/>
    <xf numFmtId="0" fontId="11" fillId="0" borderId="0" xfId="2" applyFont="1" applyFill="1" applyAlignment="1"/>
    <xf numFmtId="0" fontId="6" fillId="0" borderId="0" xfId="1" applyFont="1" applyAlignment="1">
      <alignment horizontal="left" wrapText="1"/>
    </xf>
    <xf numFmtId="0" fontId="8" fillId="0" borderId="0" xfId="1" applyFont="1" applyAlignment="1">
      <alignment horizontal="left" wrapText="1"/>
    </xf>
    <xf numFmtId="0" fontId="6" fillId="0" borderId="0" xfId="1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0" xfId="2" applyFont="1" applyFill="1" applyBorder="1" applyAlignment="1"/>
    <xf numFmtId="0" fontId="3" fillId="0" borderId="0" xfId="2" applyFont="1" applyFill="1" applyAlignment="1"/>
    <xf numFmtId="168" fontId="10" fillId="0" borderId="2" xfId="3" applyNumberFormat="1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165" fontId="10" fillId="0" borderId="2" xfId="3" applyNumberFormat="1" applyFont="1" applyFill="1" applyBorder="1" applyAlignment="1">
      <alignment horizontal="center" vertical="center"/>
    </xf>
    <xf numFmtId="166" fontId="10" fillId="0" borderId="2" xfId="3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4" fontId="10" fillId="0" borderId="2" xfId="3" applyNumberFormat="1" applyFont="1" applyFill="1" applyBorder="1" applyAlignment="1">
      <alignment horizontal="center" vertical="center"/>
    </xf>
    <xf numFmtId="4" fontId="19" fillId="0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" fontId="10" fillId="0" borderId="2" xfId="3" applyNumberFormat="1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4" fontId="11" fillId="0" borderId="2" xfId="0" applyNumberFormat="1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8" fillId="0" borderId="2" xfId="2" applyNumberFormat="1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2" xfId="0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3" fillId="0" borderId="2" xfId="3" applyFont="1" applyFill="1" applyBorder="1" applyAlignment="1">
      <alignment horizontal="center" vertical="center"/>
    </xf>
    <xf numFmtId="165" fontId="23" fillId="0" borderId="2" xfId="3" applyNumberFormat="1" applyFont="1" applyFill="1" applyBorder="1" applyAlignment="1">
      <alignment horizontal="center" vertical="center"/>
    </xf>
    <xf numFmtId="166" fontId="23" fillId="0" borderId="2" xfId="3" applyNumberFormat="1" applyFont="1" applyFill="1" applyBorder="1" applyAlignment="1">
      <alignment horizontal="center" vertical="center"/>
    </xf>
    <xf numFmtId="1" fontId="23" fillId="0" borderId="2" xfId="0" applyNumberFormat="1" applyFont="1" applyFill="1" applyBorder="1" applyAlignment="1">
      <alignment horizontal="center" vertical="center"/>
    </xf>
    <xf numFmtId="4" fontId="23" fillId="0" borderId="2" xfId="3" applyNumberFormat="1" applyFont="1" applyFill="1" applyBorder="1" applyAlignment="1">
      <alignment horizontal="center" vertical="center"/>
    </xf>
    <xf numFmtId="2" fontId="22" fillId="0" borderId="2" xfId="0" applyNumberFormat="1" applyFont="1" applyFill="1" applyBorder="1" applyAlignment="1">
      <alignment horizontal="center" vertical="center"/>
    </xf>
    <xf numFmtId="4" fontId="22" fillId="0" borderId="2" xfId="0" applyNumberFormat="1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165" fontId="10" fillId="2" borderId="2" xfId="3" applyNumberFormat="1" applyFont="1" applyFill="1" applyBorder="1" applyAlignment="1">
      <alignment horizontal="center" vertical="center"/>
    </xf>
    <xf numFmtId="166" fontId="10" fillId="2" borderId="2" xfId="3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4" fontId="11" fillId="2" borderId="2" xfId="0" applyNumberFormat="1" applyFont="1" applyFill="1" applyBorder="1" applyAlignment="1">
      <alignment horizontal="center" vertical="center"/>
    </xf>
    <xf numFmtId="4" fontId="10" fillId="2" borderId="2" xfId="3" applyNumberFormat="1" applyFont="1" applyFill="1" applyBorder="1" applyAlignment="1">
      <alignment horizontal="center" vertical="center"/>
    </xf>
    <xf numFmtId="4" fontId="10" fillId="2" borderId="2" xfId="3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2" fillId="0" borderId="0" xfId="2" applyFont="1" applyFill="1" applyAlignment="1"/>
    <xf numFmtId="4" fontId="20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4" fillId="0" borderId="2" xfId="4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14" fillId="0" borderId="2" xfId="4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13" fillId="0" borderId="3" xfId="2" applyFont="1" applyFill="1" applyBorder="1" applyAlignment="1">
      <alignment horizontal="center"/>
    </xf>
    <xf numFmtId="0" fontId="13" fillId="0" borderId="5" xfId="2" applyFont="1" applyFill="1" applyBorder="1" applyAlignment="1">
      <alignment horizontal="center"/>
    </xf>
    <xf numFmtId="0" fontId="13" fillId="0" borderId="4" xfId="2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0" borderId="0" xfId="0" applyFill="1" applyBorder="1"/>
    <xf numFmtId="0" fontId="25" fillId="0" borderId="2" xfId="0" applyFont="1" applyFill="1" applyBorder="1" applyAlignment="1">
      <alignment horizontal="center" wrapText="1"/>
    </xf>
    <xf numFmtId="0" fontId="17" fillId="0" borderId="2" xfId="0" applyFont="1" applyFill="1" applyBorder="1" applyAlignment="1">
      <alignment horizontal="center" wrapText="1"/>
    </xf>
    <xf numFmtId="16" fontId="17" fillId="0" borderId="2" xfId="0" applyNumberFormat="1" applyFont="1" applyFill="1" applyBorder="1" applyAlignment="1">
      <alignment horizontal="center" wrapText="1"/>
    </xf>
    <xf numFmtId="8" fontId="17" fillId="0" borderId="2" xfId="0" applyNumberFormat="1" applyFont="1" applyFill="1" applyBorder="1" applyAlignment="1">
      <alignment horizontal="center" wrapText="1"/>
    </xf>
    <xf numFmtId="0" fontId="26" fillId="0" borderId="2" xfId="0" applyFont="1" applyFill="1" applyBorder="1" applyAlignment="1">
      <alignment horizontal="center" wrapText="1"/>
    </xf>
    <xf numFmtId="0" fontId="17" fillId="0" borderId="2" xfId="0" applyFont="1" applyFill="1" applyBorder="1" applyAlignment="1">
      <alignment wrapText="1"/>
    </xf>
    <xf numFmtId="0" fontId="1" fillId="0" borderId="2" xfId="2" applyFont="1" applyFill="1" applyBorder="1" applyAlignment="1">
      <alignment horizontal="center" vertical="center"/>
    </xf>
  </cellXfs>
  <cellStyles count="8">
    <cellStyle name="Normal" xfId="0" builtinId="0"/>
    <cellStyle name="Normal 2" xfId="2"/>
    <cellStyle name="Normal 3" xfId="4"/>
    <cellStyle name="Normal 4" xfId="5"/>
    <cellStyle name="Normal 5" xfId="6"/>
    <cellStyle name="Normal 6" xfId="7"/>
    <cellStyle name="Normal_2016-07 Libros IVA CF" xfId="1"/>
    <cellStyle name="Normal_modelo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opLeftCell="A58" zoomScaleNormal="100" workbookViewId="0">
      <selection activeCell="B85" sqref="B85"/>
    </sheetView>
  </sheetViews>
  <sheetFormatPr baseColWidth="10" defaultColWidth="11.5546875" defaultRowHeight="14.4" x14ac:dyDescent="0.3"/>
  <cols>
    <col min="1" max="1" width="11.5546875" style="11"/>
    <col min="2" max="2" width="15.88671875" style="11" bestFit="1" customWidth="1"/>
    <col min="3" max="3" width="15.88671875" style="11" customWidth="1"/>
    <col min="4" max="4" width="16.44140625" style="14" customWidth="1"/>
    <col min="5" max="5" width="35.109375" style="11" customWidth="1"/>
    <col min="6" max="6" width="21.109375" style="11" customWidth="1"/>
    <col min="7" max="7" width="14.6640625" style="11" customWidth="1"/>
    <col min="8" max="8" width="23" style="11" bestFit="1" customWidth="1"/>
    <col min="9" max="9" width="17" style="12" customWidth="1"/>
    <col min="10" max="10" width="16.109375" style="11" customWidth="1"/>
    <col min="11" max="11" width="11.5546875" style="12"/>
    <col min="12" max="16" width="11.5546875" style="11"/>
    <col min="17" max="17" width="11.5546875" style="13"/>
    <col min="18" max="18" width="15.33203125" style="13" customWidth="1"/>
    <col min="19" max="19" width="42.88671875" style="11" customWidth="1"/>
    <col min="20" max="16384" width="11.5546875" style="11"/>
  </cols>
  <sheetData>
    <row r="1" spans="1:19" ht="18.600000000000001" thickBot="1" x14ac:dyDescent="0.4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  <c r="S1" s="15"/>
    </row>
    <row r="2" spans="1:19" x14ac:dyDescent="0.3">
      <c r="D2" s="17"/>
      <c r="F2" s="16"/>
      <c r="H2" s="16"/>
      <c r="S2" s="15"/>
    </row>
    <row r="3" spans="1:19" x14ac:dyDescent="0.3">
      <c r="A3" s="18" t="s">
        <v>10</v>
      </c>
      <c r="D3" s="24" t="s">
        <v>11</v>
      </c>
      <c r="F3" s="16"/>
      <c r="H3" s="16"/>
      <c r="Q3" s="23" t="s">
        <v>12</v>
      </c>
      <c r="R3" s="23"/>
      <c r="S3" s="15"/>
    </row>
    <row r="4" spans="1:19" x14ac:dyDescent="0.3">
      <c r="A4" s="18" t="s">
        <v>13</v>
      </c>
      <c r="D4" s="17"/>
      <c r="F4" s="16"/>
      <c r="H4" s="16"/>
      <c r="S4" s="15"/>
    </row>
    <row r="5" spans="1:19" x14ac:dyDescent="0.3">
      <c r="A5" s="18" t="s">
        <v>30</v>
      </c>
      <c r="B5" s="22"/>
      <c r="C5" s="22"/>
      <c r="D5" s="17"/>
      <c r="F5" s="16"/>
      <c r="K5" s="20"/>
      <c r="L5" s="19"/>
      <c r="S5" s="15"/>
    </row>
    <row r="6" spans="1:19" x14ac:dyDescent="0.3">
      <c r="A6" s="18"/>
      <c r="B6" s="22"/>
      <c r="C6" s="22"/>
      <c r="D6" s="17"/>
      <c r="E6" s="21"/>
      <c r="F6" s="16"/>
      <c r="G6" s="21"/>
      <c r="H6" s="21"/>
      <c r="S6" s="15"/>
    </row>
    <row r="7" spans="1:19" s="35" customFormat="1" x14ac:dyDescent="0.3">
      <c r="A7" s="49" t="s">
        <v>4</v>
      </c>
      <c r="B7" s="49" t="s">
        <v>5</v>
      </c>
      <c r="C7" s="49" t="s">
        <v>6</v>
      </c>
      <c r="D7" s="50" t="s">
        <v>14</v>
      </c>
      <c r="E7" s="49" t="s">
        <v>15</v>
      </c>
      <c r="F7" s="49" t="s">
        <v>16</v>
      </c>
      <c r="G7" s="49" t="s">
        <v>17</v>
      </c>
      <c r="H7" s="49" t="s">
        <v>18</v>
      </c>
      <c r="I7" s="49" t="s">
        <v>19</v>
      </c>
      <c r="J7" s="49" t="s">
        <v>20</v>
      </c>
      <c r="K7" s="49" t="s">
        <v>21</v>
      </c>
      <c r="L7" s="49" t="s">
        <v>22</v>
      </c>
      <c r="M7" s="49" t="s">
        <v>23</v>
      </c>
      <c r="N7" s="49" t="s">
        <v>24</v>
      </c>
      <c r="O7" s="49" t="s">
        <v>25</v>
      </c>
      <c r="P7" s="49" t="s">
        <v>26</v>
      </c>
      <c r="Q7" s="49" t="s">
        <v>27</v>
      </c>
      <c r="R7" s="49" t="s">
        <v>7</v>
      </c>
      <c r="S7" s="34"/>
    </row>
    <row r="8" spans="1:19" s="35" customFormat="1" x14ac:dyDescent="0.3">
      <c r="A8" s="36">
        <v>46056</v>
      </c>
      <c r="B8" s="37" t="s">
        <v>31</v>
      </c>
      <c r="C8" s="38">
        <v>92</v>
      </c>
      <c r="D8" s="39">
        <v>1563</v>
      </c>
      <c r="E8" s="80" t="s">
        <v>41</v>
      </c>
      <c r="F8" s="41" t="s">
        <v>34</v>
      </c>
      <c r="G8" s="37" t="s">
        <v>28</v>
      </c>
      <c r="H8" s="41" t="s">
        <v>101</v>
      </c>
      <c r="I8" s="37" t="s">
        <v>109</v>
      </c>
      <c r="J8" s="42">
        <v>3719</v>
      </c>
      <c r="K8" s="42"/>
      <c r="L8" s="42">
        <f t="shared" ref="L8:L39" si="0">J8*0.21</f>
        <v>780.99</v>
      </c>
      <c r="M8" s="46"/>
      <c r="N8" s="46"/>
      <c r="O8" s="46"/>
      <c r="P8" s="46"/>
      <c r="Q8" s="47"/>
      <c r="R8" s="43">
        <f t="shared" ref="R8:R71" si="1">SUM(J8:Q8)</f>
        <v>4499.99</v>
      </c>
      <c r="S8" s="34"/>
    </row>
    <row r="9" spans="1:19" s="35" customFormat="1" x14ac:dyDescent="0.3">
      <c r="A9" s="36">
        <v>46056</v>
      </c>
      <c r="B9" s="37" t="s">
        <v>31</v>
      </c>
      <c r="C9" s="38">
        <v>93</v>
      </c>
      <c r="D9" s="39">
        <v>4589</v>
      </c>
      <c r="E9" s="80" t="s">
        <v>41</v>
      </c>
      <c r="F9" s="41" t="s">
        <v>34</v>
      </c>
      <c r="G9" s="37" t="s">
        <v>28</v>
      </c>
      <c r="H9" s="41" t="s">
        <v>101</v>
      </c>
      <c r="I9" s="37" t="s">
        <v>109</v>
      </c>
      <c r="J9" s="42">
        <v>7103.89</v>
      </c>
      <c r="K9" s="44"/>
      <c r="L9" s="42">
        <f t="shared" si="0"/>
        <v>1491.8169</v>
      </c>
      <c r="M9" s="47"/>
      <c r="N9" s="47"/>
      <c r="O9" s="47"/>
      <c r="P9" s="47"/>
      <c r="Q9" s="46">
        <v>1409.05</v>
      </c>
      <c r="R9" s="43">
        <f t="shared" si="1"/>
        <v>10004.7569</v>
      </c>
      <c r="S9" s="34"/>
    </row>
    <row r="10" spans="1:19" s="35" customFormat="1" x14ac:dyDescent="0.3">
      <c r="A10" s="36">
        <v>46058</v>
      </c>
      <c r="B10" s="37" t="s">
        <v>31</v>
      </c>
      <c r="C10" s="38">
        <v>275</v>
      </c>
      <c r="D10" s="59">
        <v>11735</v>
      </c>
      <c r="E10" s="76" t="s">
        <v>38</v>
      </c>
      <c r="F10" s="60" t="s">
        <v>35</v>
      </c>
      <c r="G10" s="57" t="s">
        <v>28</v>
      </c>
      <c r="H10" s="60" t="s">
        <v>104</v>
      </c>
      <c r="I10" s="57" t="s">
        <v>107</v>
      </c>
      <c r="J10" s="61">
        <v>55200</v>
      </c>
      <c r="K10" s="61"/>
      <c r="L10" s="61">
        <f t="shared" si="0"/>
        <v>11592</v>
      </c>
      <c r="M10" s="74"/>
      <c r="N10" s="74">
        <v>1656</v>
      </c>
      <c r="O10" s="74"/>
      <c r="P10" s="74">
        <v>993.6</v>
      </c>
      <c r="Q10" s="61"/>
      <c r="R10" s="43">
        <f t="shared" si="1"/>
        <v>69441.600000000006</v>
      </c>
    </row>
    <row r="11" spans="1:19" s="35" customFormat="1" x14ac:dyDescent="0.3">
      <c r="A11" s="36">
        <v>46056</v>
      </c>
      <c r="B11" s="37" t="s">
        <v>31</v>
      </c>
      <c r="C11" s="38">
        <v>71</v>
      </c>
      <c r="D11" s="39">
        <v>94047</v>
      </c>
      <c r="E11" s="80" t="s">
        <v>41</v>
      </c>
      <c r="F11" s="41" t="s">
        <v>34</v>
      </c>
      <c r="G11" s="37" t="s">
        <v>28</v>
      </c>
      <c r="H11" s="41" t="s">
        <v>101</v>
      </c>
      <c r="I11" s="37" t="s">
        <v>109</v>
      </c>
      <c r="J11" s="42">
        <v>28411.79</v>
      </c>
      <c r="K11" s="42"/>
      <c r="L11" s="42">
        <f t="shared" si="0"/>
        <v>5966.4759000000004</v>
      </c>
      <c r="M11" s="47"/>
      <c r="N11" s="47"/>
      <c r="O11" s="47"/>
      <c r="P11" s="47"/>
      <c r="Q11" s="46">
        <v>5635.44</v>
      </c>
      <c r="R11" s="43">
        <f t="shared" si="1"/>
        <v>40013.705900000001</v>
      </c>
      <c r="S11" s="34"/>
    </row>
    <row r="12" spans="1:19" s="35" customFormat="1" x14ac:dyDescent="0.3">
      <c r="A12" s="36">
        <v>46055</v>
      </c>
      <c r="B12" s="37" t="s">
        <v>31</v>
      </c>
      <c r="C12" s="38">
        <v>75</v>
      </c>
      <c r="D12" s="39">
        <v>34494</v>
      </c>
      <c r="E12" s="80" t="s">
        <v>41</v>
      </c>
      <c r="F12" s="41" t="s">
        <v>34</v>
      </c>
      <c r="G12" s="37" t="s">
        <v>28</v>
      </c>
      <c r="H12" s="41" t="s">
        <v>101</v>
      </c>
      <c r="I12" s="37" t="s">
        <v>109</v>
      </c>
      <c r="J12" s="42">
        <v>6115.7</v>
      </c>
      <c r="K12" s="42"/>
      <c r="L12" s="42">
        <f t="shared" si="0"/>
        <v>1284.297</v>
      </c>
      <c r="M12" s="46"/>
      <c r="N12" s="46"/>
      <c r="O12" s="46"/>
      <c r="P12" s="46"/>
      <c r="Q12" s="46"/>
      <c r="R12" s="43">
        <f t="shared" si="1"/>
        <v>7399.9969999999994</v>
      </c>
    </row>
    <row r="13" spans="1:19" s="35" customFormat="1" x14ac:dyDescent="0.3">
      <c r="A13" s="36">
        <v>46057</v>
      </c>
      <c r="B13" s="37" t="s">
        <v>31</v>
      </c>
      <c r="C13" s="38">
        <v>75</v>
      </c>
      <c r="D13" s="39">
        <v>84462</v>
      </c>
      <c r="E13" s="80" t="s">
        <v>41</v>
      </c>
      <c r="F13" s="41" t="s">
        <v>34</v>
      </c>
      <c r="G13" s="37" t="s">
        <v>28</v>
      </c>
      <c r="H13" s="41" t="s">
        <v>101</v>
      </c>
      <c r="I13" s="37" t="s">
        <v>109</v>
      </c>
      <c r="J13" s="42">
        <v>6115.7</v>
      </c>
      <c r="K13" s="42"/>
      <c r="L13" s="42">
        <f t="shared" si="0"/>
        <v>1284.297</v>
      </c>
      <c r="M13" s="46"/>
      <c r="N13" s="46"/>
      <c r="O13" s="46"/>
      <c r="P13" s="46"/>
      <c r="Q13" s="46"/>
      <c r="R13" s="43">
        <f t="shared" si="1"/>
        <v>7399.9969999999994</v>
      </c>
    </row>
    <row r="14" spans="1:19" s="35" customFormat="1" x14ac:dyDescent="0.3">
      <c r="A14" s="36">
        <v>46056</v>
      </c>
      <c r="B14" s="37" t="s">
        <v>31</v>
      </c>
      <c r="C14" s="38">
        <v>2</v>
      </c>
      <c r="D14" s="39">
        <v>8123</v>
      </c>
      <c r="E14" s="40" t="s">
        <v>40</v>
      </c>
      <c r="F14" s="41" t="s">
        <v>36</v>
      </c>
      <c r="G14" s="37" t="s">
        <v>28</v>
      </c>
      <c r="H14" s="41" t="s">
        <v>101</v>
      </c>
      <c r="I14" s="37" t="s">
        <v>109</v>
      </c>
      <c r="J14" s="42">
        <v>3676.2</v>
      </c>
      <c r="K14" s="42"/>
      <c r="L14" s="42">
        <f t="shared" si="0"/>
        <v>772.00199999999995</v>
      </c>
      <c r="M14" s="46"/>
      <c r="N14" s="46"/>
      <c r="O14" s="46"/>
      <c r="P14" s="46"/>
      <c r="Q14" s="46">
        <v>151.80000000000001</v>
      </c>
      <c r="R14" s="43">
        <f t="shared" si="1"/>
        <v>4600.0019999999995</v>
      </c>
      <c r="S14" s="34"/>
    </row>
    <row r="15" spans="1:19" s="35" customFormat="1" x14ac:dyDescent="0.3">
      <c r="A15" s="36">
        <v>46058</v>
      </c>
      <c r="B15" s="37" t="s">
        <v>31</v>
      </c>
      <c r="C15" s="38">
        <v>2</v>
      </c>
      <c r="D15" s="39">
        <v>8120</v>
      </c>
      <c r="E15" s="40" t="s">
        <v>40</v>
      </c>
      <c r="F15" s="41" t="s">
        <v>36</v>
      </c>
      <c r="G15" s="37" t="s">
        <v>28</v>
      </c>
      <c r="H15" s="41" t="s">
        <v>101</v>
      </c>
      <c r="I15" s="37" t="s">
        <v>109</v>
      </c>
      <c r="J15" s="42">
        <v>3676.2</v>
      </c>
      <c r="K15" s="42"/>
      <c r="L15" s="42">
        <f t="shared" si="0"/>
        <v>772.00199999999995</v>
      </c>
      <c r="M15" s="46"/>
      <c r="N15" s="46"/>
      <c r="O15" s="46"/>
      <c r="P15" s="46"/>
      <c r="Q15" s="46">
        <v>151.80000000000001</v>
      </c>
      <c r="R15" s="43">
        <f t="shared" si="1"/>
        <v>4600.0019999999995</v>
      </c>
      <c r="S15" s="28"/>
    </row>
    <row r="16" spans="1:19" s="35" customFormat="1" x14ac:dyDescent="0.3">
      <c r="A16" s="36">
        <v>46058</v>
      </c>
      <c r="B16" s="37" t="s">
        <v>31</v>
      </c>
      <c r="C16" s="38">
        <v>93</v>
      </c>
      <c r="D16" s="39">
        <v>4645</v>
      </c>
      <c r="E16" s="80" t="s">
        <v>41</v>
      </c>
      <c r="F16" s="41" t="s">
        <v>34</v>
      </c>
      <c r="G16" s="37" t="s">
        <v>28</v>
      </c>
      <c r="H16" s="41" t="s">
        <v>101</v>
      </c>
      <c r="I16" s="37" t="s">
        <v>109</v>
      </c>
      <c r="J16" s="42">
        <v>21320.71</v>
      </c>
      <c r="K16" s="42"/>
      <c r="L16" s="42">
        <f t="shared" si="0"/>
        <v>4477.3490999999995</v>
      </c>
      <c r="M16" s="46"/>
      <c r="N16" s="46"/>
      <c r="O16" s="46"/>
      <c r="P16" s="46"/>
      <c r="Q16" s="46">
        <v>4201.26</v>
      </c>
      <c r="R16" s="43">
        <f t="shared" si="1"/>
        <v>29999.319100000001</v>
      </c>
    </row>
    <row r="17" spans="1:19" s="35" customFormat="1" x14ac:dyDescent="0.3">
      <c r="A17" s="36">
        <v>46058</v>
      </c>
      <c r="B17" s="37" t="s">
        <v>31</v>
      </c>
      <c r="C17" s="38">
        <v>75</v>
      </c>
      <c r="D17" s="39">
        <v>34512</v>
      </c>
      <c r="E17" s="80" t="s">
        <v>41</v>
      </c>
      <c r="F17" s="41" t="s">
        <v>34</v>
      </c>
      <c r="G17" s="37" t="s">
        <v>28</v>
      </c>
      <c r="H17" s="41" t="s">
        <v>101</v>
      </c>
      <c r="I17" s="37" t="s">
        <v>109</v>
      </c>
      <c r="J17" s="48">
        <v>6280.99</v>
      </c>
      <c r="K17" s="42"/>
      <c r="L17" s="42">
        <f t="shared" si="0"/>
        <v>1319.0078999999998</v>
      </c>
      <c r="M17" s="46"/>
      <c r="N17" s="46"/>
      <c r="O17" s="47"/>
      <c r="P17" s="46"/>
      <c r="Q17" s="46"/>
      <c r="R17" s="43">
        <f t="shared" si="1"/>
        <v>7599.9978999999994</v>
      </c>
      <c r="S17" s="34"/>
    </row>
    <row r="18" spans="1:19" s="35" customFormat="1" x14ac:dyDescent="0.3">
      <c r="A18" s="36">
        <v>46058</v>
      </c>
      <c r="B18" s="37" t="s">
        <v>31</v>
      </c>
      <c r="C18" s="38">
        <v>71</v>
      </c>
      <c r="D18" s="39">
        <v>94186</v>
      </c>
      <c r="E18" s="80" t="s">
        <v>41</v>
      </c>
      <c r="F18" s="41" t="s">
        <v>34</v>
      </c>
      <c r="G18" s="37" t="s">
        <v>28</v>
      </c>
      <c r="H18" s="41" t="s">
        <v>101</v>
      </c>
      <c r="I18" s="37" t="s">
        <v>109</v>
      </c>
      <c r="J18" s="48">
        <v>21345.96</v>
      </c>
      <c r="K18" s="42"/>
      <c r="L18" s="42">
        <f t="shared" si="0"/>
        <v>4482.6515999999992</v>
      </c>
      <c r="M18" s="46"/>
      <c r="N18" s="46"/>
      <c r="O18" s="47"/>
      <c r="P18" s="46"/>
      <c r="Q18" s="46">
        <v>4206.24</v>
      </c>
      <c r="R18" s="43">
        <f t="shared" si="1"/>
        <v>30034.851599999995</v>
      </c>
      <c r="S18" s="28"/>
    </row>
    <row r="19" spans="1:19" s="35" customFormat="1" x14ac:dyDescent="0.3">
      <c r="A19" s="36">
        <v>46060</v>
      </c>
      <c r="B19" s="37" t="s">
        <v>31</v>
      </c>
      <c r="C19" s="38">
        <v>92</v>
      </c>
      <c r="D19" s="39">
        <v>1575</v>
      </c>
      <c r="E19" s="80" t="s">
        <v>41</v>
      </c>
      <c r="F19" s="41" t="s">
        <v>34</v>
      </c>
      <c r="G19" s="37" t="s">
        <v>28</v>
      </c>
      <c r="H19" s="41" t="s">
        <v>101</v>
      </c>
      <c r="I19" s="37" t="s">
        <v>109</v>
      </c>
      <c r="J19" s="48">
        <v>21324.49</v>
      </c>
      <c r="K19" s="44"/>
      <c r="L19" s="42">
        <f t="shared" si="0"/>
        <v>4478.1428999999998</v>
      </c>
      <c r="M19" s="46"/>
      <c r="N19" s="46"/>
      <c r="O19" s="47"/>
      <c r="P19" s="46"/>
      <c r="Q19" s="46">
        <v>4202.01</v>
      </c>
      <c r="R19" s="43">
        <f t="shared" si="1"/>
        <v>30004.642899999999</v>
      </c>
      <c r="S19" s="34"/>
    </row>
    <row r="20" spans="1:19" s="35" customFormat="1" x14ac:dyDescent="0.3">
      <c r="A20" s="36">
        <v>46062</v>
      </c>
      <c r="B20" s="37" t="s">
        <v>31</v>
      </c>
      <c r="C20" s="38">
        <v>35</v>
      </c>
      <c r="D20" s="39">
        <v>17764</v>
      </c>
      <c r="E20" s="40" t="s">
        <v>42</v>
      </c>
      <c r="F20" s="41" t="s">
        <v>37</v>
      </c>
      <c r="G20" s="37" t="s">
        <v>28</v>
      </c>
      <c r="H20" s="41" t="s">
        <v>101</v>
      </c>
      <c r="I20" s="37" t="s">
        <v>109</v>
      </c>
      <c r="J20" s="42">
        <v>36152.46</v>
      </c>
      <c r="K20" s="44"/>
      <c r="L20" s="42">
        <f t="shared" si="0"/>
        <v>7592.0165999999999</v>
      </c>
      <c r="M20" s="46"/>
      <c r="N20" s="46"/>
      <c r="O20" s="46"/>
      <c r="P20" s="46"/>
      <c r="Q20" s="46">
        <v>6255.2</v>
      </c>
      <c r="R20" s="43">
        <f t="shared" si="1"/>
        <v>49999.676599999999</v>
      </c>
    </row>
    <row r="21" spans="1:19" s="35" customFormat="1" x14ac:dyDescent="0.3">
      <c r="A21" s="36">
        <v>46062</v>
      </c>
      <c r="B21" s="37" t="s">
        <v>31</v>
      </c>
      <c r="C21" s="38">
        <v>92</v>
      </c>
      <c r="D21" s="39">
        <v>1589</v>
      </c>
      <c r="E21" s="80" t="s">
        <v>41</v>
      </c>
      <c r="F21" s="41" t="s">
        <v>34</v>
      </c>
      <c r="G21" s="37" t="s">
        <v>28</v>
      </c>
      <c r="H21" s="41" t="s">
        <v>101</v>
      </c>
      <c r="I21" s="37" t="s">
        <v>109</v>
      </c>
      <c r="J21" s="48">
        <v>6280.99</v>
      </c>
      <c r="K21" s="42"/>
      <c r="L21" s="42">
        <f t="shared" si="0"/>
        <v>1319.0078999999998</v>
      </c>
      <c r="M21" s="46"/>
      <c r="N21" s="46"/>
      <c r="O21" s="47"/>
      <c r="P21" s="46"/>
      <c r="Q21" s="46"/>
      <c r="R21" s="43">
        <f t="shared" si="1"/>
        <v>7599.9978999999994</v>
      </c>
    </row>
    <row r="22" spans="1:19" s="35" customFormat="1" x14ac:dyDescent="0.3">
      <c r="A22" s="36">
        <v>46059</v>
      </c>
      <c r="B22" s="37" t="s">
        <v>31</v>
      </c>
      <c r="C22" s="38">
        <v>75</v>
      </c>
      <c r="D22" s="39">
        <v>34518</v>
      </c>
      <c r="E22" s="80" t="s">
        <v>41</v>
      </c>
      <c r="F22" s="41" t="s">
        <v>34</v>
      </c>
      <c r="G22" s="37" t="s">
        <v>28</v>
      </c>
      <c r="H22" s="41" t="s">
        <v>101</v>
      </c>
      <c r="I22" s="37" t="s">
        <v>109</v>
      </c>
      <c r="J22" s="48">
        <v>6280.99</v>
      </c>
      <c r="K22" s="42"/>
      <c r="L22" s="42">
        <f t="shared" si="0"/>
        <v>1319.0078999999998</v>
      </c>
      <c r="M22" s="46"/>
      <c r="N22" s="46"/>
      <c r="O22" s="47"/>
      <c r="P22" s="46"/>
      <c r="Q22" s="46"/>
      <c r="R22" s="43">
        <f t="shared" si="1"/>
        <v>7599.9978999999994</v>
      </c>
    </row>
    <row r="23" spans="1:19" s="35" customFormat="1" x14ac:dyDescent="0.3">
      <c r="A23" s="36">
        <v>46063</v>
      </c>
      <c r="B23" s="37" t="s">
        <v>31</v>
      </c>
      <c r="C23" s="38">
        <v>85</v>
      </c>
      <c r="D23" s="39">
        <v>86729</v>
      </c>
      <c r="E23" s="80" t="s">
        <v>41</v>
      </c>
      <c r="F23" s="41" t="s">
        <v>34</v>
      </c>
      <c r="G23" s="37" t="s">
        <v>28</v>
      </c>
      <c r="H23" s="41" t="s">
        <v>101</v>
      </c>
      <c r="I23" s="37" t="s">
        <v>109</v>
      </c>
      <c r="J23" s="48">
        <v>28449.06</v>
      </c>
      <c r="K23" s="42"/>
      <c r="L23" s="42">
        <f t="shared" si="0"/>
        <v>5974.3026</v>
      </c>
      <c r="M23" s="46"/>
      <c r="N23" s="46"/>
      <c r="O23" s="47"/>
      <c r="P23" s="46"/>
      <c r="Q23" s="46">
        <v>5576.71</v>
      </c>
      <c r="R23" s="43">
        <f t="shared" si="1"/>
        <v>40000.0726</v>
      </c>
    </row>
    <row r="24" spans="1:19" s="35" customFormat="1" x14ac:dyDescent="0.3">
      <c r="A24" s="36">
        <v>46059</v>
      </c>
      <c r="B24" s="37" t="s">
        <v>31</v>
      </c>
      <c r="C24" s="38">
        <v>21</v>
      </c>
      <c r="D24" s="39">
        <v>59842</v>
      </c>
      <c r="E24" s="40" t="s">
        <v>42</v>
      </c>
      <c r="F24" s="41" t="s">
        <v>37</v>
      </c>
      <c r="G24" s="37" t="s">
        <v>28</v>
      </c>
      <c r="H24" s="41" t="s">
        <v>101</v>
      </c>
      <c r="I24" s="37" t="s">
        <v>109</v>
      </c>
      <c r="J24" s="42">
        <v>36149.15</v>
      </c>
      <c r="K24" s="42"/>
      <c r="L24" s="42">
        <f t="shared" si="0"/>
        <v>7591.3215</v>
      </c>
      <c r="M24" s="46"/>
      <c r="N24" s="46"/>
      <c r="O24" s="47"/>
      <c r="P24" s="46"/>
      <c r="Q24" s="46">
        <v>6258.35</v>
      </c>
      <c r="R24" s="43">
        <f t="shared" si="1"/>
        <v>49998.821499999998</v>
      </c>
    </row>
    <row r="25" spans="1:19" s="35" customFormat="1" x14ac:dyDescent="0.3">
      <c r="A25" s="36">
        <v>46063</v>
      </c>
      <c r="B25" s="37" t="s">
        <v>31</v>
      </c>
      <c r="C25" s="38">
        <v>92</v>
      </c>
      <c r="D25" s="39">
        <v>1595</v>
      </c>
      <c r="E25" s="80" t="s">
        <v>41</v>
      </c>
      <c r="F25" s="41" t="s">
        <v>34</v>
      </c>
      <c r="G25" s="37" t="s">
        <v>28</v>
      </c>
      <c r="H25" s="41" t="s">
        <v>101</v>
      </c>
      <c r="I25" s="37" t="s">
        <v>109</v>
      </c>
      <c r="J25" s="48">
        <v>6280.99</v>
      </c>
      <c r="K25" s="42"/>
      <c r="L25" s="42">
        <f t="shared" si="0"/>
        <v>1319.0078999999998</v>
      </c>
      <c r="M25" s="46"/>
      <c r="N25" s="46"/>
      <c r="O25" s="47"/>
      <c r="P25" s="46"/>
      <c r="Q25" s="46"/>
      <c r="R25" s="43">
        <f t="shared" si="1"/>
        <v>7599.9978999999994</v>
      </c>
    </row>
    <row r="26" spans="1:19" s="35" customFormat="1" x14ac:dyDescent="0.3">
      <c r="A26" s="36">
        <v>46064</v>
      </c>
      <c r="B26" s="37" t="s">
        <v>31</v>
      </c>
      <c r="C26" s="38">
        <v>92</v>
      </c>
      <c r="D26" s="39">
        <v>1601</v>
      </c>
      <c r="E26" s="80" t="s">
        <v>41</v>
      </c>
      <c r="F26" s="41" t="s">
        <v>34</v>
      </c>
      <c r="G26" s="37" t="s">
        <v>28</v>
      </c>
      <c r="H26" s="41" t="s">
        <v>101</v>
      </c>
      <c r="I26" s="37" t="s">
        <v>109</v>
      </c>
      <c r="J26" s="48">
        <v>3719</v>
      </c>
      <c r="K26" s="42"/>
      <c r="L26" s="42">
        <f t="shared" si="0"/>
        <v>780.99</v>
      </c>
      <c r="M26" s="47"/>
      <c r="N26" s="47"/>
      <c r="O26" s="47"/>
      <c r="P26" s="47"/>
      <c r="Q26" s="46"/>
      <c r="R26" s="43">
        <f t="shared" si="1"/>
        <v>4499.99</v>
      </c>
    </row>
    <row r="27" spans="1:19" s="35" customFormat="1" x14ac:dyDescent="0.3">
      <c r="A27" s="36">
        <v>46063</v>
      </c>
      <c r="B27" s="37" t="s">
        <v>31</v>
      </c>
      <c r="C27" s="38">
        <v>85</v>
      </c>
      <c r="D27" s="39">
        <v>86725</v>
      </c>
      <c r="E27" s="80" t="s">
        <v>41</v>
      </c>
      <c r="F27" s="41" t="s">
        <v>34</v>
      </c>
      <c r="G27" s="37" t="s">
        <v>28</v>
      </c>
      <c r="H27" s="41" t="s">
        <v>101</v>
      </c>
      <c r="I27" s="37" t="s">
        <v>109</v>
      </c>
      <c r="J27" s="48">
        <v>15647.05</v>
      </c>
      <c r="K27" s="42"/>
      <c r="L27" s="42">
        <f t="shared" si="0"/>
        <v>3285.8804999999998</v>
      </c>
      <c r="M27" s="46"/>
      <c r="N27" s="46"/>
      <c r="O27" s="47"/>
      <c r="P27" s="46"/>
      <c r="Q27" s="46">
        <v>3067.2</v>
      </c>
      <c r="R27" s="43">
        <f t="shared" si="1"/>
        <v>22000.130499999999</v>
      </c>
    </row>
    <row r="28" spans="1:19" s="35" customFormat="1" x14ac:dyDescent="0.3">
      <c r="A28" s="36">
        <v>46063</v>
      </c>
      <c r="B28" s="37" t="s">
        <v>31</v>
      </c>
      <c r="C28" s="38">
        <v>71</v>
      </c>
      <c r="D28" s="39">
        <v>94430</v>
      </c>
      <c r="E28" s="80" t="s">
        <v>41</v>
      </c>
      <c r="F28" s="41" t="s">
        <v>34</v>
      </c>
      <c r="G28" s="37" t="s">
        <v>28</v>
      </c>
      <c r="H28" s="41" t="s">
        <v>101</v>
      </c>
      <c r="I28" s="37" t="s">
        <v>109</v>
      </c>
      <c r="J28" s="48">
        <v>21337.119999999999</v>
      </c>
      <c r="K28" s="42"/>
      <c r="L28" s="42">
        <f t="shared" si="0"/>
        <v>4480.7951999999996</v>
      </c>
      <c r="M28" s="46"/>
      <c r="N28" s="46"/>
      <c r="O28" s="47"/>
      <c r="P28" s="46"/>
      <c r="Q28" s="46">
        <v>4182.59</v>
      </c>
      <c r="R28" s="43">
        <f t="shared" si="1"/>
        <v>30000.5052</v>
      </c>
    </row>
    <row r="29" spans="1:19" s="35" customFormat="1" x14ac:dyDescent="0.3">
      <c r="A29" s="36">
        <v>46064</v>
      </c>
      <c r="B29" s="37" t="s">
        <v>31</v>
      </c>
      <c r="C29" s="38">
        <v>71</v>
      </c>
      <c r="D29" s="39">
        <v>94503</v>
      </c>
      <c r="E29" s="80" t="s">
        <v>41</v>
      </c>
      <c r="F29" s="41" t="s">
        <v>34</v>
      </c>
      <c r="G29" s="37" t="s">
        <v>28</v>
      </c>
      <c r="H29" s="41" t="s">
        <v>101</v>
      </c>
      <c r="I29" s="37" t="s">
        <v>109</v>
      </c>
      <c r="J29" s="48">
        <v>21355.27</v>
      </c>
      <c r="K29" s="42"/>
      <c r="L29" s="42">
        <f t="shared" si="0"/>
        <v>4484.6067000000003</v>
      </c>
      <c r="M29" s="46"/>
      <c r="N29" s="46"/>
      <c r="O29" s="47"/>
      <c r="P29" s="46"/>
      <c r="Q29" s="46">
        <v>4167.16</v>
      </c>
      <c r="R29" s="43">
        <f t="shared" si="1"/>
        <v>30007.036700000001</v>
      </c>
    </row>
    <row r="30" spans="1:19" s="35" customFormat="1" x14ac:dyDescent="0.3">
      <c r="A30" s="36">
        <v>46063</v>
      </c>
      <c r="B30" s="37" t="s">
        <v>31</v>
      </c>
      <c r="C30" s="38">
        <v>281</v>
      </c>
      <c r="D30" s="59">
        <v>5029</v>
      </c>
      <c r="E30" s="76" t="s">
        <v>38</v>
      </c>
      <c r="F30" s="60" t="s">
        <v>35</v>
      </c>
      <c r="G30" s="57" t="s">
        <v>28</v>
      </c>
      <c r="H30" s="60" t="s">
        <v>104</v>
      </c>
      <c r="I30" s="57" t="s">
        <v>107</v>
      </c>
      <c r="J30" s="75">
        <v>234252</v>
      </c>
      <c r="K30" s="61"/>
      <c r="L30" s="61">
        <f t="shared" si="0"/>
        <v>49192.92</v>
      </c>
      <c r="M30" s="61"/>
      <c r="N30" s="61">
        <v>7027.56</v>
      </c>
      <c r="O30" s="74"/>
      <c r="P30" s="61">
        <v>4216.54</v>
      </c>
      <c r="Q30" s="61"/>
      <c r="R30" s="43">
        <f t="shared" si="1"/>
        <v>294689.01999999996</v>
      </c>
    </row>
    <row r="31" spans="1:19" s="35" customFormat="1" x14ac:dyDescent="0.3">
      <c r="A31" s="36">
        <v>46065</v>
      </c>
      <c r="B31" s="37" t="s">
        <v>31</v>
      </c>
      <c r="C31" s="38">
        <v>75</v>
      </c>
      <c r="D31" s="39">
        <v>34540</v>
      </c>
      <c r="E31" s="80" t="s">
        <v>41</v>
      </c>
      <c r="F31" s="41" t="s">
        <v>34</v>
      </c>
      <c r="G31" s="37" t="s">
        <v>28</v>
      </c>
      <c r="H31" s="41" t="s">
        <v>101</v>
      </c>
      <c r="I31" s="37" t="s">
        <v>109</v>
      </c>
      <c r="J31" s="48">
        <v>6280.99</v>
      </c>
      <c r="K31" s="42"/>
      <c r="L31" s="42">
        <f t="shared" si="0"/>
        <v>1319.0078999999998</v>
      </c>
      <c r="M31" s="46"/>
      <c r="N31" s="46"/>
      <c r="O31" s="47"/>
      <c r="P31" s="46"/>
      <c r="Q31" s="46"/>
      <c r="R31" s="43">
        <f t="shared" si="1"/>
        <v>7599.9978999999994</v>
      </c>
    </row>
    <row r="32" spans="1:19" s="35" customFormat="1" x14ac:dyDescent="0.3">
      <c r="A32" s="36">
        <v>46064</v>
      </c>
      <c r="B32" s="37" t="s">
        <v>31</v>
      </c>
      <c r="C32" s="38">
        <v>85</v>
      </c>
      <c r="D32" s="39">
        <v>86786</v>
      </c>
      <c r="E32" s="80" t="s">
        <v>41</v>
      </c>
      <c r="F32" s="41" t="s">
        <v>34</v>
      </c>
      <c r="G32" s="37" t="s">
        <v>28</v>
      </c>
      <c r="H32" s="41" t="s">
        <v>101</v>
      </c>
      <c r="I32" s="37" t="s">
        <v>109</v>
      </c>
      <c r="J32" s="48">
        <v>36071.51</v>
      </c>
      <c r="K32" s="42"/>
      <c r="L32" s="42">
        <f t="shared" si="0"/>
        <v>7575.0171</v>
      </c>
      <c r="M32" s="46"/>
      <c r="N32" s="46"/>
      <c r="O32" s="47"/>
      <c r="P32" s="46"/>
      <c r="Q32" s="46">
        <v>6354.14</v>
      </c>
      <c r="R32" s="43">
        <f t="shared" si="1"/>
        <v>50000.667099999999</v>
      </c>
    </row>
    <row r="33" spans="1:19" s="35" customFormat="1" x14ac:dyDescent="0.3">
      <c r="A33" s="36">
        <v>46065</v>
      </c>
      <c r="B33" s="37" t="s">
        <v>31</v>
      </c>
      <c r="C33" s="38">
        <v>85</v>
      </c>
      <c r="D33" s="39">
        <v>86852</v>
      </c>
      <c r="E33" s="80" t="s">
        <v>41</v>
      </c>
      <c r="F33" s="41" t="s">
        <v>34</v>
      </c>
      <c r="G33" s="37" t="s">
        <v>28</v>
      </c>
      <c r="H33" s="41" t="s">
        <v>101</v>
      </c>
      <c r="I33" s="37" t="s">
        <v>109</v>
      </c>
      <c r="J33" s="48">
        <v>57420.36</v>
      </c>
      <c r="K33" s="42"/>
      <c r="L33" s="42">
        <f t="shared" si="0"/>
        <v>12058.275599999999</v>
      </c>
      <c r="M33" s="46"/>
      <c r="N33" s="46"/>
      <c r="O33" s="47"/>
      <c r="P33" s="46"/>
      <c r="Q33" s="46">
        <v>10523.94</v>
      </c>
      <c r="R33" s="43">
        <f t="shared" si="1"/>
        <v>80002.575599999996</v>
      </c>
    </row>
    <row r="34" spans="1:19" s="35" customFormat="1" x14ac:dyDescent="0.3">
      <c r="A34" s="36">
        <v>46060</v>
      </c>
      <c r="B34" s="37" t="s">
        <v>31</v>
      </c>
      <c r="C34" s="38">
        <v>92</v>
      </c>
      <c r="D34" s="39">
        <v>1583</v>
      </c>
      <c r="E34" s="80" t="s">
        <v>41</v>
      </c>
      <c r="F34" s="41" t="s">
        <v>34</v>
      </c>
      <c r="G34" s="37" t="s">
        <v>28</v>
      </c>
      <c r="H34" s="41" t="s">
        <v>101</v>
      </c>
      <c r="I34" s="37" t="s">
        <v>109</v>
      </c>
      <c r="J34" s="48">
        <v>6280.99</v>
      </c>
      <c r="K34" s="42"/>
      <c r="L34" s="42">
        <f t="shared" si="0"/>
        <v>1319.0078999999998</v>
      </c>
      <c r="M34" s="46"/>
      <c r="N34" s="46"/>
      <c r="O34" s="47"/>
      <c r="P34" s="46"/>
      <c r="Q34" s="46"/>
      <c r="R34" s="43">
        <f t="shared" si="1"/>
        <v>7599.9978999999994</v>
      </c>
    </row>
    <row r="35" spans="1:19" s="35" customFormat="1" x14ac:dyDescent="0.3">
      <c r="A35" s="36">
        <v>46066</v>
      </c>
      <c r="B35" s="37" t="s">
        <v>31</v>
      </c>
      <c r="C35" s="38">
        <v>71</v>
      </c>
      <c r="D35" s="39">
        <v>94665</v>
      </c>
      <c r="E35" s="80" t="s">
        <v>41</v>
      </c>
      <c r="F35" s="41" t="s">
        <v>34</v>
      </c>
      <c r="G35" s="37" t="s">
        <v>28</v>
      </c>
      <c r="H35" s="41" t="s">
        <v>101</v>
      </c>
      <c r="I35" s="37" t="s">
        <v>109</v>
      </c>
      <c r="J35" s="48">
        <v>21350.16</v>
      </c>
      <c r="K35" s="42"/>
      <c r="L35" s="42">
        <f t="shared" si="0"/>
        <v>4483.5335999999998</v>
      </c>
      <c r="M35" s="46"/>
      <c r="N35" s="46"/>
      <c r="O35" s="47"/>
      <c r="P35" s="46"/>
      <c r="Q35" s="46">
        <v>4166.17</v>
      </c>
      <c r="R35" s="43">
        <f t="shared" si="1"/>
        <v>29999.863599999997</v>
      </c>
    </row>
    <row r="36" spans="1:19" s="35" customFormat="1" x14ac:dyDescent="0.3">
      <c r="A36" s="36">
        <v>46066</v>
      </c>
      <c r="B36" s="37" t="s">
        <v>31</v>
      </c>
      <c r="C36" s="38">
        <v>75</v>
      </c>
      <c r="D36" s="39">
        <v>34548</v>
      </c>
      <c r="E36" s="80" t="s">
        <v>41</v>
      </c>
      <c r="F36" s="41" t="s">
        <v>34</v>
      </c>
      <c r="G36" s="37" t="s">
        <v>28</v>
      </c>
      <c r="H36" s="41" t="s">
        <v>101</v>
      </c>
      <c r="I36" s="37" t="s">
        <v>109</v>
      </c>
      <c r="J36" s="48">
        <v>6280.99</v>
      </c>
      <c r="K36" s="42"/>
      <c r="L36" s="42">
        <f t="shared" si="0"/>
        <v>1319.0078999999998</v>
      </c>
      <c r="M36" s="46"/>
      <c r="N36" s="46"/>
      <c r="O36" s="47"/>
      <c r="P36" s="46"/>
      <c r="Q36" s="46"/>
      <c r="R36" s="43">
        <f t="shared" si="1"/>
        <v>7599.9978999999994</v>
      </c>
    </row>
    <row r="37" spans="1:19" s="35" customFormat="1" x14ac:dyDescent="0.3">
      <c r="A37" s="36">
        <v>46071</v>
      </c>
      <c r="B37" s="37" t="s">
        <v>31</v>
      </c>
      <c r="C37" s="38">
        <v>92</v>
      </c>
      <c r="D37" s="39">
        <v>1625</v>
      </c>
      <c r="E37" s="80" t="s">
        <v>41</v>
      </c>
      <c r="F37" s="41" t="s">
        <v>34</v>
      </c>
      <c r="G37" s="37" t="s">
        <v>28</v>
      </c>
      <c r="H37" s="41" t="s">
        <v>101</v>
      </c>
      <c r="I37" s="37" t="s">
        <v>109</v>
      </c>
      <c r="J37" s="48">
        <v>6280.99</v>
      </c>
      <c r="K37" s="42"/>
      <c r="L37" s="42">
        <f t="shared" si="0"/>
        <v>1319.0078999999998</v>
      </c>
      <c r="M37" s="46"/>
      <c r="N37" s="46"/>
      <c r="O37" s="47"/>
      <c r="P37" s="46"/>
      <c r="Q37" s="46"/>
      <c r="R37" s="43">
        <f t="shared" si="1"/>
        <v>7599.9978999999994</v>
      </c>
    </row>
    <row r="38" spans="1:19" s="35" customFormat="1" x14ac:dyDescent="0.3">
      <c r="A38" s="36">
        <v>46071</v>
      </c>
      <c r="B38" s="37" t="s">
        <v>31</v>
      </c>
      <c r="C38" s="38">
        <v>21</v>
      </c>
      <c r="D38" s="39">
        <v>60186</v>
      </c>
      <c r="E38" s="40" t="s">
        <v>42</v>
      </c>
      <c r="F38" s="41" t="s">
        <v>37</v>
      </c>
      <c r="G38" s="37" t="s">
        <v>28</v>
      </c>
      <c r="H38" s="41" t="s">
        <v>101</v>
      </c>
      <c r="I38" s="37" t="s">
        <v>109</v>
      </c>
      <c r="J38" s="48">
        <v>21713.91</v>
      </c>
      <c r="K38" s="42"/>
      <c r="L38" s="42">
        <f t="shared" si="0"/>
        <v>4559.9210999999996</v>
      </c>
      <c r="M38" s="46"/>
      <c r="N38" s="46"/>
      <c r="O38" s="47"/>
      <c r="P38" s="46"/>
      <c r="Q38" s="46">
        <v>3726.09</v>
      </c>
      <c r="R38" s="43">
        <f t="shared" si="1"/>
        <v>29999.9211</v>
      </c>
    </row>
    <row r="39" spans="1:19" s="35" customFormat="1" x14ac:dyDescent="0.3">
      <c r="A39" s="36">
        <v>46100</v>
      </c>
      <c r="B39" s="37" t="s">
        <v>31</v>
      </c>
      <c r="C39" s="38">
        <v>93</v>
      </c>
      <c r="D39" s="39">
        <v>4989</v>
      </c>
      <c r="E39" s="80" t="s">
        <v>41</v>
      </c>
      <c r="F39" s="41" t="s">
        <v>34</v>
      </c>
      <c r="G39" s="37" t="s">
        <v>28</v>
      </c>
      <c r="H39" s="41" t="s">
        <v>101</v>
      </c>
      <c r="I39" s="37" t="s">
        <v>109</v>
      </c>
      <c r="J39" s="48">
        <v>36125.43</v>
      </c>
      <c r="K39" s="42"/>
      <c r="L39" s="42">
        <f t="shared" si="0"/>
        <v>7586.3402999999998</v>
      </c>
      <c r="M39" s="46"/>
      <c r="N39" s="46"/>
      <c r="O39" s="47"/>
      <c r="P39" s="46"/>
      <c r="Q39" s="46">
        <v>6287.78</v>
      </c>
      <c r="R39" s="43">
        <f t="shared" si="1"/>
        <v>49999.550300000003</v>
      </c>
      <c r="S39" s="29"/>
    </row>
    <row r="40" spans="1:19" s="35" customFormat="1" x14ac:dyDescent="0.3">
      <c r="A40" s="36">
        <v>46072</v>
      </c>
      <c r="B40" s="37" t="s">
        <v>31</v>
      </c>
      <c r="C40" s="38">
        <v>92</v>
      </c>
      <c r="D40" s="39">
        <v>1629</v>
      </c>
      <c r="E40" s="80" t="s">
        <v>41</v>
      </c>
      <c r="F40" s="41" t="s">
        <v>34</v>
      </c>
      <c r="G40" s="37" t="s">
        <v>28</v>
      </c>
      <c r="H40" s="41" t="s">
        <v>101</v>
      </c>
      <c r="I40" s="37" t="s">
        <v>109</v>
      </c>
      <c r="J40" s="48">
        <v>6280.99</v>
      </c>
      <c r="K40" s="42"/>
      <c r="L40" s="42">
        <f t="shared" ref="L40:L56" si="2">J40*0.21</f>
        <v>1319.0078999999998</v>
      </c>
      <c r="M40" s="46"/>
      <c r="N40" s="46"/>
      <c r="O40" s="47"/>
      <c r="P40" s="46"/>
      <c r="Q40" s="46"/>
      <c r="R40" s="43">
        <f t="shared" si="1"/>
        <v>7599.9978999999994</v>
      </c>
    </row>
    <row r="41" spans="1:19" s="35" customFormat="1" x14ac:dyDescent="0.3">
      <c r="A41" s="36">
        <v>46073</v>
      </c>
      <c r="B41" s="37" t="s">
        <v>31</v>
      </c>
      <c r="C41" s="38">
        <v>85</v>
      </c>
      <c r="D41" s="39">
        <v>87159</v>
      </c>
      <c r="E41" s="80" t="s">
        <v>41</v>
      </c>
      <c r="F41" s="41" t="s">
        <v>34</v>
      </c>
      <c r="G41" s="37" t="s">
        <v>28</v>
      </c>
      <c r="H41" s="41" t="s">
        <v>101</v>
      </c>
      <c r="I41" s="37" t="s">
        <v>109</v>
      </c>
      <c r="J41" s="48">
        <v>21378.83</v>
      </c>
      <c r="K41" s="42"/>
      <c r="L41" s="42">
        <f t="shared" si="2"/>
        <v>4489.5542999999998</v>
      </c>
      <c r="M41" s="46"/>
      <c r="N41" s="46"/>
      <c r="O41" s="47"/>
      <c r="P41" s="46"/>
      <c r="Q41" s="46">
        <v>4131.6000000000004</v>
      </c>
      <c r="R41" s="43">
        <f t="shared" si="1"/>
        <v>29999.984300000004</v>
      </c>
    </row>
    <row r="42" spans="1:19" s="35" customFormat="1" x14ac:dyDescent="0.3">
      <c r="A42" s="36">
        <v>46074</v>
      </c>
      <c r="B42" s="37" t="s">
        <v>31</v>
      </c>
      <c r="C42" s="38">
        <v>85</v>
      </c>
      <c r="D42" s="39">
        <v>15415</v>
      </c>
      <c r="E42" s="40" t="s">
        <v>40</v>
      </c>
      <c r="F42" s="41" t="s">
        <v>36</v>
      </c>
      <c r="G42" s="37" t="s">
        <v>28</v>
      </c>
      <c r="H42" s="41" t="s">
        <v>101</v>
      </c>
      <c r="I42" s="37" t="s">
        <v>109</v>
      </c>
      <c r="J42" s="48">
        <v>21783.61</v>
      </c>
      <c r="K42" s="42"/>
      <c r="L42" s="42">
        <f t="shared" si="2"/>
        <v>4574.5581000000002</v>
      </c>
      <c r="M42" s="46"/>
      <c r="N42" s="46"/>
      <c r="O42" s="47"/>
      <c r="P42" s="46"/>
      <c r="Q42" s="46">
        <v>3641.75</v>
      </c>
      <c r="R42" s="43">
        <f t="shared" si="1"/>
        <v>29999.918100000003</v>
      </c>
    </row>
    <row r="43" spans="1:19" s="35" customFormat="1" x14ac:dyDescent="0.3">
      <c r="A43" s="36">
        <v>46071</v>
      </c>
      <c r="B43" s="37" t="s">
        <v>31</v>
      </c>
      <c r="C43" s="38">
        <v>71</v>
      </c>
      <c r="D43" s="39">
        <v>94830</v>
      </c>
      <c r="E43" s="80" t="s">
        <v>41</v>
      </c>
      <c r="F43" s="41" t="s">
        <v>34</v>
      </c>
      <c r="G43" s="37" t="s">
        <v>28</v>
      </c>
      <c r="H43" s="41" t="s">
        <v>101</v>
      </c>
      <c r="I43" s="37" t="s">
        <v>109</v>
      </c>
      <c r="J43" s="48">
        <v>14261.49</v>
      </c>
      <c r="K43" s="42"/>
      <c r="L43" s="42">
        <f t="shared" si="2"/>
        <v>2994.9128999999998</v>
      </c>
      <c r="M43" s="46"/>
      <c r="N43" s="46"/>
      <c r="O43" s="47"/>
      <c r="P43" s="46"/>
      <c r="Q43" s="46">
        <v>2756.13</v>
      </c>
      <c r="R43" s="43">
        <f t="shared" si="1"/>
        <v>20012.532900000002</v>
      </c>
    </row>
    <row r="44" spans="1:19" s="35" customFormat="1" x14ac:dyDescent="0.3">
      <c r="A44" s="36">
        <v>46076</v>
      </c>
      <c r="B44" s="37" t="s">
        <v>31</v>
      </c>
      <c r="C44" s="38">
        <v>92</v>
      </c>
      <c r="D44" s="39">
        <v>1637</v>
      </c>
      <c r="E44" s="80" t="s">
        <v>41</v>
      </c>
      <c r="F44" s="41" t="s">
        <v>34</v>
      </c>
      <c r="G44" s="37" t="s">
        <v>28</v>
      </c>
      <c r="H44" s="41" t="s">
        <v>101</v>
      </c>
      <c r="I44" s="37" t="s">
        <v>109</v>
      </c>
      <c r="J44" s="48">
        <v>6280.99</v>
      </c>
      <c r="K44" s="42"/>
      <c r="L44" s="42">
        <f t="shared" si="2"/>
        <v>1319.0078999999998</v>
      </c>
      <c r="M44" s="46"/>
      <c r="N44" s="46"/>
      <c r="O44" s="47"/>
      <c r="P44" s="46"/>
      <c r="Q44" s="46"/>
      <c r="R44" s="43">
        <f t="shared" si="1"/>
        <v>7599.9978999999994</v>
      </c>
    </row>
    <row r="45" spans="1:19" s="35" customFormat="1" x14ac:dyDescent="0.3">
      <c r="A45" s="36">
        <v>46077</v>
      </c>
      <c r="B45" s="37" t="s">
        <v>31</v>
      </c>
      <c r="C45" s="38">
        <v>71</v>
      </c>
      <c r="D45" s="39">
        <v>95145</v>
      </c>
      <c r="E45" s="80" t="s">
        <v>41</v>
      </c>
      <c r="F45" s="41" t="s">
        <v>34</v>
      </c>
      <c r="G45" s="37" t="s">
        <v>28</v>
      </c>
      <c r="H45" s="41" t="s">
        <v>101</v>
      </c>
      <c r="I45" s="37" t="s">
        <v>109</v>
      </c>
      <c r="J45" s="48">
        <v>28547.79</v>
      </c>
      <c r="K45" s="42"/>
      <c r="L45" s="42">
        <f t="shared" si="2"/>
        <v>5995.0358999999999</v>
      </c>
      <c r="M45" s="46"/>
      <c r="N45" s="46"/>
      <c r="O45" s="47"/>
      <c r="P45" s="46"/>
      <c r="Q45" s="46">
        <v>5457.5</v>
      </c>
      <c r="R45" s="43">
        <f t="shared" si="1"/>
        <v>40000.325900000003</v>
      </c>
    </row>
    <row r="46" spans="1:19" s="35" customFormat="1" x14ac:dyDescent="0.3">
      <c r="A46" s="36">
        <v>46077</v>
      </c>
      <c r="B46" s="37" t="s">
        <v>31</v>
      </c>
      <c r="C46" s="38">
        <v>75</v>
      </c>
      <c r="D46" s="39">
        <v>34574</v>
      </c>
      <c r="E46" s="80" t="s">
        <v>41</v>
      </c>
      <c r="F46" s="41" t="s">
        <v>34</v>
      </c>
      <c r="G46" s="37" t="s">
        <v>28</v>
      </c>
      <c r="H46" s="41" t="s">
        <v>101</v>
      </c>
      <c r="I46" s="37" t="s">
        <v>109</v>
      </c>
      <c r="J46" s="48">
        <v>9090.91</v>
      </c>
      <c r="K46" s="42"/>
      <c r="L46" s="42">
        <f t="shared" si="2"/>
        <v>1909.0910999999999</v>
      </c>
      <c r="M46" s="46"/>
      <c r="N46" s="46"/>
      <c r="O46" s="47"/>
      <c r="P46" s="46"/>
      <c r="Q46" s="46"/>
      <c r="R46" s="43">
        <f t="shared" si="1"/>
        <v>11000.001099999999</v>
      </c>
    </row>
    <row r="47" spans="1:19" s="35" customFormat="1" x14ac:dyDescent="0.3">
      <c r="A47" s="36">
        <v>46077</v>
      </c>
      <c r="B47" s="37" t="s">
        <v>31</v>
      </c>
      <c r="C47" s="38">
        <v>93</v>
      </c>
      <c r="D47" s="39">
        <v>5111</v>
      </c>
      <c r="E47" s="80" t="s">
        <v>41</v>
      </c>
      <c r="F47" s="41" t="s">
        <v>34</v>
      </c>
      <c r="G47" s="37" t="s">
        <v>28</v>
      </c>
      <c r="H47" s="41" t="s">
        <v>101</v>
      </c>
      <c r="I47" s="37" t="s">
        <v>109</v>
      </c>
      <c r="J47" s="48">
        <v>21410.18</v>
      </c>
      <c r="K47" s="42"/>
      <c r="L47" s="42">
        <f t="shared" si="2"/>
        <v>4496.1377999999995</v>
      </c>
      <c r="M47" s="46"/>
      <c r="N47" s="46"/>
      <c r="O47" s="47"/>
      <c r="P47" s="46"/>
      <c r="Q47" s="46">
        <v>4093</v>
      </c>
      <c r="R47" s="43">
        <f t="shared" si="1"/>
        <v>29999.317800000001</v>
      </c>
    </row>
    <row r="48" spans="1:19" s="35" customFormat="1" x14ac:dyDescent="0.3">
      <c r="A48" s="36">
        <v>46077</v>
      </c>
      <c r="B48" s="37" t="s">
        <v>31</v>
      </c>
      <c r="C48" s="38">
        <v>92</v>
      </c>
      <c r="D48" s="39">
        <v>1645</v>
      </c>
      <c r="E48" s="80" t="s">
        <v>41</v>
      </c>
      <c r="F48" s="41" t="s">
        <v>34</v>
      </c>
      <c r="G48" s="37" t="s">
        <v>28</v>
      </c>
      <c r="H48" s="41" t="s">
        <v>101</v>
      </c>
      <c r="I48" s="37" t="s">
        <v>109</v>
      </c>
      <c r="J48" s="48">
        <v>5123.97</v>
      </c>
      <c r="K48" s="42"/>
      <c r="L48" s="42">
        <f t="shared" si="2"/>
        <v>1076.0337</v>
      </c>
      <c r="M48" s="46"/>
      <c r="N48" s="46"/>
      <c r="O48" s="47"/>
      <c r="P48" s="46"/>
      <c r="Q48" s="46"/>
      <c r="R48" s="43">
        <f t="shared" si="1"/>
        <v>6200.0037000000002</v>
      </c>
    </row>
    <row r="49" spans="1:19" s="35" customFormat="1" x14ac:dyDescent="0.3">
      <c r="A49" s="36">
        <v>46077</v>
      </c>
      <c r="B49" s="37" t="s">
        <v>31</v>
      </c>
      <c r="C49" s="38">
        <v>4</v>
      </c>
      <c r="D49" s="39">
        <v>17761</v>
      </c>
      <c r="E49" s="40" t="s">
        <v>40</v>
      </c>
      <c r="F49" s="41" t="s">
        <v>36</v>
      </c>
      <c r="G49" s="37" t="s">
        <v>28</v>
      </c>
      <c r="H49" s="41" t="s">
        <v>101</v>
      </c>
      <c r="I49" s="37" t="s">
        <v>109</v>
      </c>
      <c r="J49" s="48">
        <v>36333.72</v>
      </c>
      <c r="K49" s="42"/>
      <c r="L49" s="42">
        <f t="shared" si="2"/>
        <v>7630.0811999999996</v>
      </c>
      <c r="M49" s="46"/>
      <c r="N49" s="46"/>
      <c r="O49" s="47"/>
      <c r="P49" s="46"/>
      <c r="Q49" s="46">
        <v>6036.19</v>
      </c>
      <c r="R49" s="43">
        <f t="shared" si="1"/>
        <v>49999.991200000004</v>
      </c>
    </row>
    <row r="50" spans="1:19" s="35" customFormat="1" x14ac:dyDescent="0.3">
      <c r="A50" s="36">
        <v>46078</v>
      </c>
      <c r="B50" s="37" t="s">
        <v>31</v>
      </c>
      <c r="C50" s="38">
        <v>93</v>
      </c>
      <c r="D50" s="39">
        <v>5151</v>
      </c>
      <c r="E50" s="80" t="s">
        <v>41</v>
      </c>
      <c r="F50" s="41" t="s">
        <v>34</v>
      </c>
      <c r="G50" s="37" t="s">
        <v>28</v>
      </c>
      <c r="H50" s="41" t="s">
        <v>101</v>
      </c>
      <c r="I50" s="37" t="s">
        <v>109</v>
      </c>
      <c r="J50" s="48">
        <v>36216.74</v>
      </c>
      <c r="K50" s="42"/>
      <c r="L50" s="42">
        <f t="shared" si="2"/>
        <v>7605.5153999999993</v>
      </c>
      <c r="M50" s="46"/>
      <c r="N50" s="46"/>
      <c r="O50" s="47"/>
      <c r="P50" s="46"/>
      <c r="Q50" s="46">
        <v>6178.46</v>
      </c>
      <c r="R50" s="43">
        <f t="shared" si="1"/>
        <v>50000.715399999994</v>
      </c>
      <c r="S50" s="29"/>
    </row>
    <row r="51" spans="1:19" s="35" customFormat="1" x14ac:dyDescent="0.3">
      <c r="A51" s="36">
        <v>46078</v>
      </c>
      <c r="B51" s="37" t="s">
        <v>31</v>
      </c>
      <c r="C51" s="38">
        <v>75</v>
      </c>
      <c r="D51" s="39">
        <v>34588</v>
      </c>
      <c r="E51" s="80" t="s">
        <v>41</v>
      </c>
      <c r="F51" s="41" t="s">
        <v>34</v>
      </c>
      <c r="G51" s="37" t="s">
        <v>28</v>
      </c>
      <c r="H51" s="41" t="s">
        <v>101</v>
      </c>
      <c r="I51" s="37" t="s">
        <v>109</v>
      </c>
      <c r="J51" s="48">
        <v>6280.99</v>
      </c>
      <c r="K51" s="42"/>
      <c r="L51" s="42">
        <f t="shared" si="2"/>
        <v>1319.0078999999998</v>
      </c>
      <c r="M51" s="46"/>
      <c r="N51" s="46"/>
      <c r="O51" s="47"/>
      <c r="P51" s="46"/>
      <c r="Q51" s="46"/>
      <c r="R51" s="43">
        <f t="shared" si="1"/>
        <v>7599.9978999999994</v>
      </c>
    </row>
    <row r="52" spans="1:19" s="35" customFormat="1" x14ac:dyDescent="0.3">
      <c r="A52" s="36">
        <v>46079</v>
      </c>
      <c r="B52" s="37" t="s">
        <v>31</v>
      </c>
      <c r="C52" s="38">
        <v>93</v>
      </c>
      <c r="D52" s="39">
        <v>5168</v>
      </c>
      <c r="E52" s="80" t="s">
        <v>41</v>
      </c>
      <c r="F52" s="41" t="s">
        <v>34</v>
      </c>
      <c r="G52" s="37" t="s">
        <v>28</v>
      </c>
      <c r="H52" s="41" t="s">
        <v>101</v>
      </c>
      <c r="I52" s="37" t="s">
        <v>109</v>
      </c>
      <c r="J52" s="48">
        <v>21416.69</v>
      </c>
      <c r="K52" s="42"/>
      <c r="L52" s="42">
        <f t="shared" si="2"/>
        <v>4497.5048999999999</v>
      </c>
      <c r="M52" s="46"/>
      <c r="N52" s="46"/>
      <c r="O52" s="47"/>
      <c r="P52" s="46"/>
      <c r="Q52" s="46">
        <v>4094.25</v>
      </c>
      <c r="R52" s="43">
        <f t="shared" si="1"/>
        <v>30008.444899999999</v>
      </c>
    </row>
    <row r="53" spans="1:19" s="35" customFormat="1" x14ac:dyDescent="0.3">
      <c r="A53" s="36">
        <v>46079</v>
      </c>
      <c r="B53" s="37" t="s">
        <v>31</v>
      </c>
      <c r="C53" s="38">
        <v>71</v>
      </c>
      <c r="D53" s="39">
        <v>95304</v>
      </c>
      <c r="E53" s="80" t="s">
        <v>41</v>
      </c>
      <c r="F53" s="41" t="s">
        <v>34</v>
      </c>
      <c r="G53" s="37" t="s">
        <v>28</v>
      </c>
      <c r="H53" s="41" t="s">
        <v>101</v>
      </c>
      <c r="I53" s="37" t="s">
        <v>109</v>
      </c>
      <c r="J53" s="48">
        <v>21420.6</v>
      </c>
      <c r="K53" s="42"/>
      <c r="L53" s="42">
        <f t="shared" si="2"/>
        <v>4498.3259999999991</v>
      </c>
      <c r="M53" s="46"/>
      <c r="N53" s="46"/>
      <c r="O53" s="47"/>
      <c r="P53" s="46"/>
      <c r="Q53" s="46">
        <v>4094.99</v>
      </c>
      <c r="R53" s="43">
        <f t="shared" si="1"/>
        <v>30013.915999999997</v>
      </c>
    </row>
    <row r="54" spans="1:19" s="35" customFormat="1" x14ac:dyDescent="0.3">
      <c r="A54" s="36">
        <v>46079</v>
      </c>
      <c r="B54" s="37" t="s">
        <v>31</v>
      </c>
      <c r="C54" s="38">
        <v>75</v>
      </c>
      <c r="D54" s="39">
        <v>34593</v>
      </c>
      <c r="E54" s="80" t="s">
        <v>41</v>
      </c>
      <c r="F54" s="41" t="s">
        <v>34</v>
      </c>
      <c r="G54" s="37" t="s">
        <v>28</v>
      </c>
      <c r="H54" s="41" t="s">
        <v>101</v>
      </c>
      <c r="I54" s="37" t="s">
        <v>109</v>
      </c>
      <c r="J54" s="48">
        <v>6280.99</v>
      </c>
      <c r="K54" s="42"/>
      <c r="L54" s="42">
        <f t="shared" si="2"/>
        <v>1319.0078999999998</v>
      </c>
      <c r="M54" s="46"/>
      <c r="N54" s="46"/>
      <c r="O54" s="47"/>
      <c r="P54" s="46"/>
      <c r="Q54" s="46"/>
      <c r="R54" s="43">
        <f t="shared" si="1"/>
        <v>7599.9978999999994</v>
      </c>
    </row>
    <row r="55" spans="1:19" s="35" customFormat="1" x14ac:dyDescent="0.3">
      <c r="A55" s="36">
        <v>46080</v>
      </c>
      <c r="B55" s="37" t="s">
        <v>31</v>
      </c>
      <c r="C55" s="38">
        <v>71</v>
      </c>
      <c r="D55" s="39">
        <v>95382</v>
      </c>
      <c r="E55" s="80" t="s">
        <v>41</v>
      </c>
      <c r="F55" s="41" t="s">
        <v>34</v>
      </c>
      <c r="G55" s="37" t="s">
        <v>28</v>
      </c>
      <c r="H55" s="41" t="s">
        <v>101</v>
      </c>
      <c r="I55" s="37" t="s">
        <v>109</v>
      </c>
      <c r="J55" s="48">
        <v>24996.560000000001</v>
      </c>
      <c r="K55" s="42"/>
      <c r="L55" s="42">
        <f t="shared" si="2"/>
        <v>5249.2776000000003</v>
      </c>
      <c r="M55" s="46"/>
      <c r="N55" s="46"/>
      <c r="O55" s="47"/>
      <c r="P55" s="46"/>
      <c r="Q55" s="46">
        <v>4778.51</v>
      </c>
      <c r="R55" s="43">
        <f t="shared" si="1"/>
        <v>35024.347600000001</v>
      </c>
    </row>
    <row r="56" spans="1:19" s="29" customFormat="1" x14ac:dyDescent="0.3">
      <c r="A56" s="36">
        <v>46080</v>
      </c>
      <c r="B56" s="37" t="s">
        <v>31</v>
      </c>
      <c r="C56" s="38">
        <v>81</v>
      </c>
      <c r="D56" s="39">
        <v>7856</v>
      </c>
      <c r="E56" s="80" t="s">
        <v>41</v>
      </c>
      <c r="F56" s="41" t="s">
        <v>34</v>
      </c>
      <c r="G56" s="37" t="s">
        <v>28</v>
      </c>
      <c r="H56" s="41" t="s">
        <v>101</v>
      </c>
      <c r="I56" s="37" t="s">
        <v>109</v>
      </c>
      <c r="J56" s="48">
        <v>36236.78</v>
      </c>
      <c r="K56" s="42"/>
      <c r="L56" s="42">
        <f t="shared" si="2"/>
        <v>7609.7237999999998</v>
      </c>
      <c r="M56" s="46"/>
      <c r="N56" s="46"/>
      <c r="O56" s="47"/>
      <c r="P56" s="46"/>
      <c r="Q56" s="46">
        <v>6153.12</v>
      </c>
      <c r="R56" s="43">
        <f t="shared" si="1"/>
        <v>49999.623800000001</v>
      </c>
      <c r="S56" s="35"/>
    </row>
    <row r="57" spans="1:19" s="29" customFormat="1" x14ac:dyDescent="0.3">
      <c r="A57" s="36">
        <v>46073</v>
      </c>
      <c r="B57" s="37" t="s">
        <v>31</v>
      </c>
      <c r="C57" s="38">
        <v>275</v>
      </c>
      <c r="D57" s="59">
        <v>11743</v>
      </c>
      <c r="E57" s="76" t="s">
        <v>38</v>
      </c>
      <c r="F57" s="60" t="s">
        <v>35</v>
      </c>
      <c r="G57" s="57" t="s">
        <v>28</v>
      </c>
      <c r="H57" s="60" t="s">
        <v>104</v>
      </c>
      <c r="I57" s="57" t="s">
        <v>107</v>
      </c>
      <c r="J57" s="75">
        <v>56400</v>
      </c>
      <c r="K57" s="61"/>
      <c r="L57" s="61">
        <f t="shared" ref="L57" si="3">J57*0.21</f>
        <v>11844</v>
      </c>
      <c r="M57" s="61"/>
      <c r="N57" s="61">
        <v>1752</v>
      </c>
      <c r="O57" s="74"/>
      <c r="P57" s="61">
        <v>955.2</v>
      </c>
      <c r="Q57" s="61"/>
      <c r="R57" s="43">
        <f t="shared" si="1"/>
        <v>70951.199999999997</v>
      </c>
      <c r="S57" s="35"/>
    </row>
    <row r="58" spans="1:19" s="29" customFormat="1" x14ac:dyDescent="0.3">
      <c r="A58" s="36">
        <v>46080</v>
      </c>
      <c r="B58" s="37" t="s">
        <v>31</v>
      </c>
      <c r="C58" s="38">
        <v>275</v>
      </c>
      <c r="D58" s="59">
        <v>11753</v>
      </c>
      <c r="E58" s="76" t="s">
        <v>38</v>
      </c>
      <c r="F58" s="60" t="s">
        <v>35</v>
      </c>
      <c r="G58" s="57" t="s">
        <v>28</v>
      </c>
      <c r="H58" s="60" t="s">
        <v>104</v>
      </c>
      <c r="I58" s="57" t="s">
        <v>107</v>
      </c>
      <c r="J58" s="75">
        <v>58400</v>
      </c>
      <c r="K58" s="61"/>
      <c r="L58" s="61">
        <f>J58*0.21</f>
        <v>12264</v>
      </c>
      <c r="M58" s="61"/>
      <c r="N58" s="61">
        <v>1752</v>
      </c>
      <c r="O58" s="74"/>
      <c r="P58" s="61">
        <v>1051.2</v>
      </c>
      <c r="Q58" s="61"/>
      <c r="R58" s="43">
        <f t="shared" si="1"/>
        <v>73467.199999999997</v>
      </c>
      <c r="S58" s="35"/>
    </row>
    <row r="59" spans="1:19" x14ac:dyDescent="0.3">
      <c r="A59" s="36">
        <v>46064</v>
      </c>
      <c r="B59" s="79" t="s">
        <v>31</v>
      </c>
      <c r="C59" s="38">
        <v>1</v>
      </c>
      <c r="D59" s="59">
        <v>15611</v>
      </c>
      <c r="E59" s="77" t="s">
        <v>69</v>
      </c>
      <c r="F59" s="78" t="s">
        <v>70</v>
      </c>
      <c r="G59" s="57" t="s">
        <v>28</v>
      </c>
      <c r="H59" s="94" t="s">
        <v>103</v>
      </c>
      <c r="I59" s="57" t="s">
        <v>108</v>
      </c>
      <c r="J59" s="79">
        <v>350413.21</v>
      </c>
      <c r="K59" s="79"/>
      <c r="L59" s="61">
        <f>J59*0.21</f>
        <v>73586.774099999995</v>
      </c>
      <c r="M59" s="79"/>
      <c r="N59" s="79"/>
      <c r="O59" s="79"/>
      <c r="P59" s="79"/>
      <c r="Q59" s="79"/>
      <c r="R59" s="43">
        <f t="shared" si="1"/>
        <v>423999.9841</v>
      </c>
    </row>
    <row r="60" spans="1:19" s="35" customFormat="1" x14ac:dyDescent="0.3">
      <c r="A60" s="36">
        <v>46050</v>
      </c>
      <c r="B60" s="64" t="s">
        <v>31</v>
      </c>
      <c r="C60" s="65">
        <v>21</v>
      </c>
      <c r="D60" s="66">
        <v>253290</v>
      </c>
      <c r="E60" s="67" t="s">
        <v>32</v>
      </c>
      <c r="F60" s="68" t="s">
        <v>33</v>
      </c>
      <c r="G60" s="64" t="s">
        <v>28</v>
      </c>
      <c r="H60" s="68" t="s">
        <v>102</v>
      </c>
      <c r="I60" s="64" t="s">
        <v>109</v>
      </c>
      <c r="J60" s="69">
        <v>219988.96</v>
      </c>
      <c r="K60" s="70"/>
      <c r="L60" s="70">
        <f t="shared" ref="L60:L72" si="4">J60*0.21</f>
        <v>46197.681599999996</v>
      </c>
      <c r="M60" s="71"/>
      <c r="N60" s="71"/>
      <c r="O60" s="72"/>
      <c r="P60" s="71"/>
      <c r="Q60" s="71"/>
      <c r="R60" s="43">
        <f t="shared" si="1"/>
        <v>266186.64159999997</v>
      </c>
      <c r="S60" s="73" t="s">
        <v>72</v>
      </c>
    </row>
    <row r="61" spans="1:19" s="35" customFormat="1" x14ac:dyDescent="0.3">
      <c r="A61" s="36">
        <v>46059</v>
      </c>
      <c r="B61" s="37" t="s">
        <v>31</v>
      </c>
      <c r="C61" s="38">
        <v>2</v>
      </c>
      <c r="D61" s="39">
        <v>37568</v>
      </c>
      <c r="E61" s="45" t="s">
        <v>39</v>
      </c>
      <c r="F61" s="40" t="s">
        <v>71</v>
      </c>
      <c r="G61" s="57" t="s">
        <v>28</v>
      </c>
      <c r="H61" s="41" t="s">
        <v>104</v>
      </c>
      <c r="I61" s="57" t="s">
        <v>94</v>
      </c>
      <c r="J61" s="51">
        <v>430368</v>
      </c>
      <c r="K61" s="42"/>
      <c r="L61" s="42">
        <f t="shared" si="4"/>
        <v>90377.279999999999</v>
      </c>
      <c r="M61" s="42"/>
      <c r="N61" s="42"/>
      <c r="O61" s="43"/>
      <c r="P61" s="42"/>
      <c r="Q61" s="42"/>
      <c r="R61" s="43">
        <f t="shared" si="1"/>
        <v>520745.28</v>
      </c>
    </row>
    <row r="62" spans="1:19" s="35" customFormat="1" x14ac:dyDescent="0.3">
      <c r="A62" s="36">
        <v>46056</v>
      </c>
      <c r="B62" s="37" t="s">
        <v>31</v>
      </c>
      <c r="C62" s="38">
        <v>5</v>
      </c>
      <c r="D62" s="39">
        <v>52228</v>
      </c>
      <c r="E62" s="81" t="s">
        <v>73</v>
      </c>
      <c r="F62" s="82" t="s">
        <v>75</v>
      </c>
      <c r="G62" s="57" t="s">
        <v>28</v>
      </c>
      <c r="H62" s="41" t="s">
        <v>103</v>
      </c>
      <c r="I62" s="57" t="s">
        <v>108</v>
      </c>
      <c r="J62" s="51">
        <v>77460.87</v>
      </c>
      <c r="K62" s="42"/>
      <c r="L62" s="42">
        <f t="shared" si="4"/>
        <v>16266.782699999998</v>
      </c>
      <c r="M62" s="42"/>
      <c r="N62" s="42"/>
      <c r="O62" s="43"/>
      <c r="P62" s="42"/>
      <c r="Q62" s="42"/>
      <c r="R62" s="43">
        <f t="shared" si="1"/>
        <v>93727.652699999991</v>
      </c>
    </row>
    <row r="63" spans="1:19" s="35" customFormat="1" x14ac:dyDescent="0.3">
      <c r="A63" s="36">
        <v>46057</v>
      </c>
      <c r="B63" s="37" t="s">
        <v>31</v>
      </c>
      <c r="C63" s="38">
        <v>5</v>
      </c>
      <c r="D63" s="39">
        <v>52264</v>
      </c>
      <c r="E63" s="81" t="s">
        <v>73</v>
      </c>
      <c r="F63" s="82" t="s">
        <v>76</v>
      </c>
      <c r="G63" s="57" t="s">
        <v>28</v>
      </c>
      <c r="H63" s="41" t="s">
        <v>103</v>
      </c>
      <c r="I63" s="57" t="s">
        <v>108</v>
      </c>
      <c r="J63" s="51">
        <v>23947.32</v>
      </c>
      <c r="K63" s="42"/>
      <c r="L63" s="42">
        <f t="shared" si="4"/>
        <v>5028.9371999999994</v>
      </c>
      <c r="M63" s="42"/>
      <c r="N63" s="42"/>
      <c r="O63" s="43"/>
      <c r="P63" s="42"/>
      <c r="Q63" s="42"/>
      <c r="R63" s="43">
        <f t="shared" si="1"/>
        <v>28976.2572</v>
      </c>
    </row>
    <row r="64" spans="1:19" s="35" customFormat="1" x14ac:dyDescent="0.3">
      <c r="A64" s="36">
        <v>46059</v>
      </c>
      <c r="B64" s="37" t="s">
        <v>31</v>
      </c>
      <c r="C64" s="38">
        <v>5</v>
      </c>
      <c r="D64" s="39">
        <v>52315</v>
      </c>
      <c r="E64" s="81" t="s">
        <v>73</v>
      </c>
      <c r="F64" s="82" t="s">
        <v>77</v>
      </c>
      <c r="G64" s="57" t="s">
        <v>28</v>
      </c>
      <c r="H64" s="41" t="s">
        <v>103</v>
      </c>
      <c r="I64" s="57" t="s">
        <v>108</v>
      </c>
      <c r="J64" s="51">
        <v>20553.75</v>
      </c>
      <c r="K64" s="42"/>
      <c r="L64" s="42">
        <f t="shared" si="4"/>
        <v>4316.2874999999995</v>
      </c>
      <c r="M64" s="42"/>
      <c r="N64" s="42"/>
      <c r="O64" s="43"/>
      <c r="P64" s="42"/>
      <c r="Q64" s="42"/>
      <c r="R64" s="43">
        <f t="shared" si="1"/>
        <v>24870.037499999999</v>
      </c>
    </row>
    <row r="65" spans="1:18" s="35" customFormat="1" x14ac:dyDescent="0.3">
      <c r="A65" s="36">
        <v>46071</v>
      </c>
      <c r="B65" s="37" t="s">
        <v>31</v>
      </c>
      <c r="C65" s="38">
        <v>5</v>
      </c>
      <c r="D65" s="39">
        <v>52579</v>
      </c>
      <c r="E65" s="81" t="s">
        <v>73</v>
      </c>
      <c r="F65" s="82" t="s">
        <v>78</v>
      </c>
      <c r="G65" s="57" t="s">
        <v>28</v>
      </c>
      <c r="H65" s="41" t="s">
        <v>103</v>
      </c>
      <c r="I65" s="57" t="s">
        <v>108</v>
      </c>
      <c r="J65" s="51">
        <v>3924.04</v>
      </c>
      <c r="K65" s="42"/>
      <c r="L65" s="42">
        <f t="shared" si="4"/>
        <v>824.04840000000002</v>
      </c>
      <c r="M65" s="42"/>
      <c r="N65" s="42"/>
      <c r="O65" s="43"/>
      <c r="P65" s="42"/>
      <c r="Q65" s="42"/>
      <c r="R65" s="43">
        <f t="shared" si="1"/>
        <v>4748.0883999999996</v>
      </c>
    </row>
    <row r="66" spans="1:18" s="35" customFormat="1" x14ac:dyDescent="0.3">
      <c r="A66" s="36">
        <v>46072</v>
      </c>
      <c r="B66" s="37" t="s">
        <v>31</v>
      </c>
      <c r="C66" s="38">
        <v>5</v>
      </c>
      <c r="D66" s="39">
        <v>52611</v>
      </c>
      <c r="E66" s="81" t="s">
        <v>73</v>
      </c>
      <c r="F66" s="82" t="s">
        <v>79</v>
      </c>
      <c r="G66" s="57" t="s">
        <v>28</v>
      </c>
      <c r="H66" s="41" t="s">
        <v>103</v>
      </c>
      <c r="I66" s="57" t="s">
        <v>108</v>
      </c>
      <c r="J66" s="51">
        <v>151353.31</v>
      </c>
      <c r="K66" s="42"/>
      <c r="L66" s="42">
        <f t="shared" si="4"/>
        <v>31784.195099999997</v>
      </c>
      <c r="M66" s="42"/>
      <c r="N66" s="42"/>
      <c r="O66" s="43"/>
      <c r="P66" s="42"/>
      <c r="Q66" s="42"/>
      <c r="R66" s="43">
        <f t="shared" si="1"/>
        <v>183137.50510000001</v>
      </c>
    </row>
    <row r="67" spans="1:18" s="35" customFormat="1" x14ac:dyDescent="0.3">
      <c r="A67" s="36">
        <v>46077</v>
      </c>
      <c r="B67" s="37" t="s">
        <v>31</v>
      </c>
      <c r="C67" s="38">
        <v>5</v>
      </c>
      <c r="D67" s="39">
        <v>52749</v>
      </c>
      <c r="E67" s="81" t="s">
        <v>73</v>
      </c>
      <c r="F67" s="82" t="s">
        <v>80</v>
      </c>
      <c r="G67" s="57" t="s">
        <v>28</v>
      </c>
      <c r="H67" s="41" t="s">
        <v>103</v>
      </c>
      <c r="I67" s="57" t="s">
        <v>108</v>
      </c>
      <c r="J67" s="51">
        <v>5889.31</v>
      </c>
      <c r="K67" s="42"/>
      <c r="L67" s="42">
        <f t="shared" si="4"/>
        <v>1236.7551000000001</v>
      </c>
      <c r="M67" s="42"/>
      <c r="N67" s="42"/>
      <c r="O67" s="43"/>
      <c r="P67" s="42"/>
      <c r="Q67" s="42"/>
      <c r="R67" s="43">
        <f t="shared" si="1"/>
        <v>7126.0651000000007</v>
      </c>
    </row>
    <row r="68" spans="1:18" s="35" customFormat="1" x14ac:dyDescent="0.3">
      <c r="A68" s="36">
        <v>46077</v>
      </c>
      <c r="B68" s="37" t="s">
        <v>31</v>
      </c>
      <c r="C68" s="38">
        <v>5</v>
      </c>
      <c r="D68" s="39">
        <v>52748</v>
      </c>
      <c r="E68" s="81" t="s">
        <v>73</v>
      </c>
      <c r="F68" s="82" t="s">
        <v>81</v>
      </c>
      <c r="G68" s="57" t="s">
        <v>28</v>
      </c>
      <c r="H68" s="41" t="s">
        <v>103</v>
      </c>
      <c r="I68" s="57" t="s">
        <v>108</v>
      </c>
      <c r="J68" s="51">
        <v>4958.9799999999996</v>
      </c>
      <c r="K68" s="42"/>
      <c r="L68" s="42">
        <f t="shared" si="4"/>
        <v>1041.3857999999998</v>
      </c>
      <c r="M68" s="42"/>
      <c r="N68" s="42"/>
      <c r="O68" s="43"/>
      <c r="P68" s="42"/>
      <c r="Q68" s="42"/>
      <c r="R68" s="43">
        <f t="shared" si="1"/>
        <v>6000.3657999999996</v>
      </c>
    </row>
    <row r="69" spans="1:18" s="35" customFormat="1" x14ac:dyDescent="0.3">
      <c r="A69" s="36">
        <v>46077</v>
      </c>
      <c r="B69" s="37" t="s">
        <v>31</v>
      </c>
      <c r="C69" s="38">
        <v>5</v>
      </c>
      <c r="D69" s="39">
        <v>52738</v>
      </c>
      <c r="E69" s="81" t="s">
        <v>73</v>
      </c>
      <c r="F69" s="82" t="s">
        <v>82</v>
      </c>
      <c r="G69" s="57" t="s">
        <v>28</v>
      </c>
      <c r="H69" s="41" t="s">
        <v>103</v>
      </c>
      <c r="I69" s="57" t="s">
        <v>108</v>
      </c>
      <c r="J69" s="51">
        <v>4007.52</v>
      </c>
      <c r="K69" s="42"/>
      <c r="L69" s="42">
        <f t="shared" si="4"/>
        <v>841.57920000000001</v>
      </c>
      <c r="M69" s="42"/>
      <c r="N69" s="42"/>
      <c r="O69" s="43"/>
      <c r="P69" s="42"/>
      <c r="Q69" s="42"/>
      <c r="R69" s="43">
        <f t="shared" si="1"/>
        <v>4849.0991999999997</v>
      </c>
    </row>
    <row r="70" spans="1:18" s="35" customFormat="1" x14ac:dyDescent="0.3">
      <c r="A70" s="36">
        <v>46077</v>
      </c>
      <c r="B70" s="37" t="s">
        <v>74</v>
      </c>
      <c r="C70" s="38">
        <v>5</v>
      </c>
      <c r="D70" s="39">
        <v>1128</v>
      </c>
      <c r="E70" s="81" t="s">
        <v>73</v>
      </c>
      <c r="F70" s="82" t="s">
        <v>83</v>
      </c>
      <c r="G70" s="57" t="s">
        <v>28</v>
      </c>
      <c r="H70" s="41" t="s">
        <v>103</v>
      </c>
      <c r="I70" s="57" t="s">
        <v>108</v>
      </c>
      <c r="J70" s="51">
        <v>4958.9799999999996</v>
      </c>
      <c r="K70" s="42"/>
      <c r="L70" s="42">
        <f t="shared" si="4"/>
        <v>1041.3857999999998</v>
      </c>
      <c r="M70" s="42"/>
      <c r="N70" s="42"/>
      <c r="O70" s="43"/>
      <c r="P70" s="42"/>
      <c r="Q70" s="42"/>
      <c r="R70" s="43">
        <f t="shared" si="1"/>
        <v>6000.3657999999996</v>
      </c>
    </row>
    <row r="71" spans="1:18" s="35" customFormat="1" x14ac:dyDescent="0.3">
      <c r="A71" s="36">
        <v>46077</v>
      </c>
      <c r="B71" s="37" t="s">
        <v>74</v>
      </c>
      <c r="C71" s="38">
        <v>5</v>
      </c>
      <c r="D71" s="39">
        <v>1127</v>
      </c>
      <c r="E71" s="81" t="s">
        <v>73</v>
      </c>
      <c r="F71" s="82" t="s">
        <v>84</v>
      </c>
      <c r="G71" s="57" t="s">
        <v>28</v>
      </c>
      <c r="H71" s="41" t="s">
        <v>103</v>
      </c>
      <c r="I71" s="57" t="s">
        <v>108</v>
      </c>
      <c r="J71" s="51">
        <v>4007.52</v>
      </c>
      <c r="K71" s="42"/>
      <c r="L71" s="42">
        <f t="shared" si="4"/>
        <v>841.57920000000001</v>
      </c>
      <c r="M71" s="42"/>
      <c r="N71" s="42"/>
      <c r="O71" s="43"/>
      <c r="P71" s="42"/>
      <c r="Q71" s="42"/>
      <c r="R71" s="43">
        <f t="shared" si="1"/>
        <v>4849.0991999999997</v>
      </c>
    </row>
    <row r="72" spans="1:18" s="35" customFormat="1" x14ac:dyDescent="0.3">
      <c r="A72" s="36">
        <v>46078</v>
      </c>
      <c r="B72" s="37" t="s">
        <v>31</v>
      </c>
      <c r="C72" s="38">
        <v>5</v>
      </c>
      <c r="D72" s="39">
        <v>52786</v>
      </c>
      <c r="E72" s="81" t="s">
        <v>73</v>
      </c>
      <c r="F72" s="82" t="s">
        <v>85</v>
      </c>
      <c r="G72" s="57" t="s">
        <v>28</v>
      </c>
      <c r="H72" s="41" t="s">
        <v>103</v>
      </c>
      <c r="I72" s="57" t="s">
        <v>108</v>
      </c>
      <c r="J72" s="51">
        <v>80677.2</v>
      </c>
      <c r="K72" s="42"/>
      <c r="L72" s="42">
        <f t="shared" si="4"/>
        <v>16942.212</v>
      </c>
      <c r="M72" s="42"/>
      <c r="N72" s="42"/>
      <c r="O72" s="43"/>
      <c r="P72" s="42"/>
      <c r="Q72" s="42"/>
      <c r="R72" s="43">
        <f t="shared" ref="R72" si="5">SUM(J72:Q72)</f>
        <v>97619.411999999997</v>
      </c>
    </row>
  </sheetData>
  <autoFilter ref="A7:S72"/>
  <mergeCells count="1">
    <mergeCell ref="A1: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3"/>
  <sheetViews>
    <sheetView tabSelected="1" topLeftCell="K1" zoomScaleNormal="100" workbookViewId="0">
      <selection activeCell="R7" sqref="R7"/>
    </sheetView>
  </sheetViews>
  <sheetFormatPr baseColWidth="10" defaultColWidth="11.5546875" defaultRowHeight="14.4" x14ac:dyDescent="0.3"/>
  <cols>
    <col min="2" max="2" width="19.88671875" customWidth="1"/>
    <col min="3" max="3" width="15.109375" customWidth="1"/>
    <col min="4" max="4" width="21.5546875" customWidth="1"/>
    <col min="5" max="5" width="45.33203125" style="33" customWidth="1"/>
    <col min="6" max="6" width="17.5546875" customWidth="1"/>
    <col min="7" max="7" width="20.5546875" customWidth="1"/>
    <col min="8" max="8" width="24.44140625" customWidth="1"/>
    <col min="9" max="9" width="15.33203125" customWidth="1"/>
    <col min="10" max="10" width="18.88671875" customWidth="1"/>
    <col min="11" max="11" width="14" customWidth="1"/>
    <col min="12" max="12" width="20.88671875" customWidth="1"/>
    <col min="13" max="13" width="11.5546875" style="25"/>
    <col min="14" max="14" width="33" style="25" customWidth="1"/>
    <col min="15" max="17" width="11.5546875" style="25"/>
    <col min="18" max="18" width="12.6640625" style="25" bestFit="1" customWidth="1"/>
    <col min="19" max="16384" width="11.5546875" style="25"/>
  </cols>
  <sheetData>
    <row r="1" spans="1:36" customFormat="1" ht="15" thickBot="1" x14ac:dyDescent="0.3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9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customFormat="1" x14ac:dyDescent="0.3">
      <c r="A2" s="1"/>
      <c r="B2" s="1"/>
      <c r="C2" s="1"/>
      <c r="D2" s="1"/>
      <c r="E2" s="30"/>
      <c r="F2" s="2"/>
      <c r="G2" s="1"/>
      <c r="H2" s="1"/>
      <c r="I2" s="1"/>
      <c r="J2" s="1"/>
      <c r="K2" s="1"/>
      <c r="L2" s="1"/>
      <c r="M2" s="9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customFormat="1" x14ac:dyDescent="0.3">
      <c r="A3" s="3" t="s">
        <v>1</v>
      </c>
      <c r="B3" s="3" t="s">
        <v>2</v>
      </c>
      <c r="C3" s="3"/>
      <c r="D3" s="3"/>
      <c r="E3" s="31"/>
      <c r="F3" s="2"/>
      <c r="G3" s="26"/>
      <c r="H3" s="26"/>
      <c r="I3" s="1"/>
      <c r="J3" s="1"/>
      <c r="K3" s="1"/>
      <c r="L3" s="1"/>
      <c r="M3" s="9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customFormat="1" x14ac:dyDescent="0.3">
      <c r="A4" s="3" t="s">
        <v>3</v>
      </c>
      <c r="B4" s="3"/>
      <c r="C4" s="3"/>
      <c r="D4" s="3"/>
      <c r="E4" s="31"/>
      <c r="F4" s="2"/>
      <c r="G4" s="27"/>
      <c r="H4" s="26"/>
      <c r="I4" s="1"/>
      <c r="J4" s="1"/>
      <c r="K4" s="1"/>
      <c r="L4" s="1"/>
      <c r="M4" s="9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customFormat="1" ht="15" customHeight="1" x14ac:dyDescent="0.3">
      <c r="A5" s="4" t="s">
        <v>29</v>
      </c>
      <c r="B5" s="3"/>
      <c r="C5" s="3"/>
      <c r="D5" s="3"/>
      <c r="E5" s="31"/>
      <c r="F5" s="2"/>
      <c r="G5" s="10"/>
      <c r="H5" s="26"/>
      <c r="I5" s="1"/>
      <c r="J5" s="1"/>
      <c r="K5" s="1"/>
      <c r="L5" s="1"/>
      <c r="M5" s="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customFormat="1" x14ac:dyDescent="0.3">
      <c r="A6" s="1"/>
      <c r="B6" s="1"/>
      <c r="C6" s="1"/>
      <c r="D6" s="1"/>
      <c r="E6" s="30"/>
      <c r="F6" s="2"/>
      <c r="G6" s="1"/>
      <c r="H6" s="1"/>
      <c r="I6" s="1"/>
      <c r="J6" s="1"/>
      <c r="K6" s="1"/>
      <c r="L6" s="1"/>
      <c r="M6" s="9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s="52" customFormat="1" x14ac:dyDescent="0.3">
      <c r="A7" s="54" t="s">
        <v>4</v>
      </c>
      <c r="B7" s="54" t="s">
        <v>5</v>
      </c>
      <c r="C7" s="54" t="s">
        <v>6</v>
      </c>
      <c r="D7" s="55" t="s">
        <v>14</v>
      </c>
      <c r="E7" s="54" t="s">
        <v>15</v>
      </c>
      <c r="F7" s="54" t="s">
        <v>16</v>
      </c>
      <c r="G7" s="54" t="s">
        <v>17</v>
      </c>
      <c r="H7" s="54" t="s">
        <v>18</v>
      </c>
      <c r="I7" s="54" t="s">
        <v>19</v>
      </c>
      <c r="J7" s="54" t="s">
        <v>20</v>
      </c>
      <c r="K7" s="54" t="s">
        <v>21</v>
      </c>
      <c r="L7" s="54" t="s">
        <v>22</v>
      </c>
      <c r="M7" s="54" t="s">
        <v>23</v>
      </c>
      <c r="N7" s="54" t="s">
        <v>24</v>
      </c>
      <c r="O7" s="54" t="s">
        <v>25</v>
      </c>
      <c r="P7" s="54" t="s">
        <v>26</v>
      </c>
      <c r="Q7" s="54" t="s">
        <v>27</v>
      </c>
      <c r="R7" s="54" t="s">
        <v>7</v>
      </c>
    </row>
    <row r="8" spans="1:36" s="53" customFormat="1" ht="17.399999999999999" customHeight="1" x14ac:dyDescent="0.3">
      <c r="A8" s="56" t="s">
        <v>45</v>
      </c>
      <c r="B8" s="57" t="s">
        <v>43</v>
      </c>
      <c r="C8" s="58">
        <v>1</v>
      </c>
      <c r="D8" s="59">
        <v>315</v>
      </c>
      <c r="E8" s="56" t="s">
        <v>39</v>
      </c>
      <c r="F8" s="56">
        <v>30669701639</v>
      </c>
      <c r="G8" s="57"/>
      <c r="H8" s="60"/>
      <c r="I8" s="57"/>
      <c r="J8" s="61">
        <v>2250000</v>
      </c>
      <c r="K8" s="62"/>
      <c r="L8" s="56">
        <f>J8*0.21</f>
        <v>472500</v>
      </c>
      <c r="M8" s="61"/>
      <c r="N8" s="61"/>
      <c r="O8" s="61"/>
      <c r="P8" s="61"/>
      <c r="Q8" s="63"/>
      <c r="R8" s="63">
        <f>SUM(J8:Q8)</f>
        <v>2722500</v>
      </c>
    </row>
    <row r="9" spans="1:36" s="53" customFormat="1" ht="17.399999999999999" customHeight="1" x14ac:dyDescent="0.3">
      <c r="A9" s="56" t="s">
        <v>46</v>
      </c>
      <c r="B9" s="57" t="s">
        <v>44</v>
      </c>
      <c r="C9" s="58">
        <v>1</v>
      </c>
      <c r="D9" s="59">
        <v>3566</v>
      </c>
      <c r="E9" s="56" t="s">
        <v>68</v>
      </c>
      <c r="F9" s="56" t="s">
        <v>68</v>
      </c>
      <c r="G9" s="57"/>
      <c r="H9" s="60"/>
      <c r="I9" s="57"/>
      <c r="J9" s="61">
        <v>12975.19</v>
      </c>
      <c r="K9" s="62"/>
      <c r="L9" s="56">
        <f t="shared" ref="L9:L72" si="0">J9*0.21</f>
        <v>2724.7899000000002</v>
      </c>
      <c r="M9" s="63"/>
      <c r="N9" s="63"/>
      <c r="O9" s="63"/>
      <c r="P9" s="63"/>
      <c r="Q9" s="61"/>
      <c r="R9" s="63">
        <f t="shared" ref="R9:R72" si="1">SUM(J9:Q9)</f>
        <v>15699.9799</v>
      </c>
    </row>
    <row r="10" spans="1:36" s="53" customFormat="1" ht="17.399999999999999" customHeight="1" x14ac:dyDescent="0.3">
      <c r="A10" s="56" t="s">
        <v>46</v>
      </c>
      <c r="B10" s="57" t="s">
        <v>44</v>
      </c>
      <c r="C10" s="58">
        <v>1</v>
      </c>
      <c r="D10" s="59">
        <v>3567</v>
      </c>
      <c r="E10" s="56" t="s">
        <v>68</v>
      </c>
      <c r="F10" s="56" t="s">
        <v>68</v>
      </c>
      <c r="G10" s="57"/>
      <c r="H10" s="60"/>
      <c r="I10" s="57"/>
      <c r="J10" s="61">
        <v>8429.76</v>
      </c>
      <c r="K10" s="62"/>
      <c r="L10" s="56">
        <f t="shared" si="0"/>
        <v>1770.2495999999999</v>
      </c>
      <c r="M10" s="63"/>
      <c r="N10" s="63"/>
      <c r="O10" s="63"/>
      <c r="P10" s="63"/>
      <c r="Q10" s="61"/>
      <c r="R10" s="63">
        <f t="shared" si="1"/>
        <v>10200.009599999999</v>
      </c>
    </row>
    <row r="11" spans="1:36" s="53" customFormat="1" ht="17.399999999999999" customHeight="1" x14ac:dyDescent="0.3">
      <c r="A11" s="56" t="s">
        <v>46</v>
      </c>
      <c r="B11" s="57" t="s">
        <v>44</v>
      </c>
      <c r="C11" s="58">
        <v>1</v>
      </c>
      <c r="D11" s="59">
        <v>3568</v>
      </c>
      <c r="E11" s="56" t="s">
        <v>68</v>
      </c>
      <c r="F11" s="56" t="s">
        <v>68</v>
      </c>
      <c r="G11" s="57"/>
      <c r="H11" s="60"/>
      <c r="I11" s="57"/>
      <c r="J11" s="61">
        <v>8016.52</v>
      </c>
      <c r="K11" s="62"/>
      <c r="L11" s="56">
        <f t="shared" si="0"/>
        <v>1683.4692</v>
      </c>
      <c r="M11" s="63"/>
      <c r="N11" s="63"/>
      <c r="O11" s="63"/>
      <c r="P11" s="63"/>
      <c r="Q11" s="61"/>
      <c r="R11" s="63">
        <f t="shared" si="1"/>
        <v>9699.9892</v>
      </c>
    </row>
    <row r="12" spans="1:36" s="53" customFormat="1" ht="17.399999999999999" customHeight="1" x14ac:dyDescent="0.3">
      <c r="A12" s="56" t="s">
        <v>47</v>
      </c>
      <c r="B12" s="57" t="s">
        <v>43</v>
      </c>
      <c r="C12" s="58">
        <v>1</v>
      </c>
      <c r="D12" s="59">
        <v>316</v>
      </c>
      <c r="E12" s="56" t="s">
        <v>66</v>
      </c>
      <c r="F12" s="56">
        <v>30707620192</v>
      </c>
      <c r="G12" s="57"/>
      <c r="H12" s="60"/>
      <c r="I12" s="57"/>
      <c r="J12" s="61">
        <v>376000</v>
      </c>
      <c r="K12" s="62"/>
      <c r="L12" s="56">
        <f t="shared" si="0"/>
        <v>78960</v>
      </c>
      <c r="M12" s="61"/>
      <c r="N12" s="61"/>
      <c r="O12" s="61"/>
      <c r="P12" s="61"/>
      <c r="Q12" s="61"/>
      <c r="R12" s="63">
        <f t="shared" si="1"/>
        <v>454960</v>
      </c>
    </row>
    <row r="13" spans="1:36" s="53" customFormat="1" ht="17.399999999999999" customHeight="1" x14ac:dyDescent="0.3">
      <c r="A13" s="56" t="s">
        <v>47</v>
      </c>
      <c r="B13" s="57" t="s">
        <v>44</v>
      </c>
      <c r="C13" s="58">
        <v>1</v>
      </c>
      <c r="D13" s="59">
        <v>3569</v>
      </c>
      <c r="E13" s="56" t="s">
        <v>68</v>
      </c>
      <c r="F13" s="56" t="s">
        <v>68</v>
      </c>
      <c r="G13" s="57"/>
      <c r="H13" s="60"/>
      <c r="I13" s="57"/>
      <c r="J13" s="61">
        <v>6528.9</v>
      </c>
      <c r="K13" s="62"/>
      <c r="L13" s="56">
        <f t="shared" si="0"/>
        <v>1371.069</v>
      </c>
      <c r="M13" s="61"/>
      <c r="N13" s="61"/>
      <c r="O13" s="61"/>
      <c r="P13" s="61"/>
      <c r="Q13" s="61"/>
      <c r="R13" s="63">
        <f t="shared" si="1"/>
        <v>7899.9689999999991</v>
      </c>
    </row>
    <row r="14" spans="1:36" s="53" customFormat="1" ht="17.399999999999999" customHeight="1" x14ac:dyDescent="0.3">
      <c r="A14" s="56" t="s">
        <v>47</v>
      </c>
      <c r="B14" s="57" t="s">
        <v>44</v>
      </c>
      <c r="C14" s="58">
        <v>1</v>
      </c>
      <c r="D14" s="59">
        <v>3570</v>
      </c>
      <c r="E14" s="56" t="s">
        <v>68</v>
      </c>
      <c r="F14" s="56" t="s">
        <v>68</v>
      </c>
      <c r="G14" s="57"/>
      <c r="H14" s="60"/>
      <c r="I14" s="57"/>
      <c r="J14" s="61">
        <v>7933.9</v>
      </c>
      <c r="K14" s="62"/>
      <c r="L14" s="56">
        <f t="shared" si="0"/>
        <v>1666.1189999999999</v>
      </c>
      <c r="M14" s="61"/>
      <c r="N14" s="61"/>
      <c r="O14" s="61"/>
      <c r="P14" s="61"/>
      <c r="Q14" s="61"/>
      <c r="R14" s="63">
        <f t="shared" si="1"/>
        <v>9600.0190000000002</v>
      </c>
    </row>
    <row r="15" spans="1:36" s="53" customFormat="1" ht="17.399999999999999" customHeight="1" x14ac:dyDescent="0.3">
      <c r="A15" s="56" t="s">
        <v>47</v>
      </c>
      <c r="B15" s="57" t="s">
        <v>44</v>
      </c>
      <c r="C15" s="58">
        <v>1</v>
      </c>
      <c r="D15" s="59">
        <v>3571</v>
      </c>
      <c r="E15" s="56" t="s">
        <v>68</v>
      </c>
      <c r="F15" s="56" t="s">
        <v>68</v>
      </c>
      <c r="G15" s="57"/>
      <c r="H15" s="60"/>
      <c r="I15" s="57"/>
      <c r="J15" s="61">
        <v>4942.1400000000003</v>
      </c>
      <c r="K15" s="62"/>
      <c r="L15" s="56">
        <f t="shared" si="0"/>
        <v>1037.8494000000001</v>
      </c>
      <c r="M15" s="61"/>
      <c r="N15" s="61"/>
      <c r="O15" s="61"/>
      <c r="P15" s="61"/>
      <c r="Q15" s="61"/>
      <c r="R15" s="63">
        <f t="shared" si="1"/>
        <v>5979.9894000000004</v>
      </c>
    </row>
    <row r="16" spans="1:36" s="53" customFormat="1" ht="17.399999999999999" customHeight="1" x14ac:dyDescent="0.3">
      <c r="A16" s="56" t="s">
        <v>47</v>
      </c>
      <c r="B16" s="57" t="s">
        <v>44</v>
      </c>
      <c r="C16" s="58">
        <v>1</v>
      </c>
      <c r="D16" s="59">
        <v>3572</v>
      </c>
      <c r="E16" s="56" t="s">
        <v>68</v>
      </c>
      <c r="F16" s="56" t="s">
        <v>68</v>
      </c>
      <c r="G16" s="57"/>
      <c r="H16" s="60"/>
      <c r="I16" s="57"/>
      <c r="J16" s="61">
        <v>7024.81</v>
      </c>
      <c r="K16" s="62"/>
      <c r="L16" s="56">
        <f t="shared" si="0"/>
        <v>1475.2101</v>
      </c>
      <c r="M16" s="61"/>
      <c r="N16" s="61"/>
      <c r="O16" s="61"/>
      <c r="P16" s="61"/>
      <c r="Q16" s="61"/>
      <c r="R16" s="63">
        <f t="shared" si="1"/>
        <v>8500.0200999999997</v>
      </c>
    </row>
    <row r="17" spans="1:18" s="53" customFormat="1" ht="17.399999999999999" customHeight="1" x14ac:dyDescent="0.3">
      <c r="A17" s="56" t="s">
        <v>48</v>
      </c>
      <c r="B17" s="57" t="s">
        <v>44</v>
      </c>
      <c r="C17" s="58">
        <v>1</v>
      </c>
      <c r="D17" s="59">
        <v>3573</v>
      </c>
      <c r="E17" s="56" t="s">
        <v>68</v>
      </c>
      <c r="F17" s="56" t="s">
        <v>68</v>
      </c>
      <c r="G17" s="57"/>
      <c r="H17" s="60"/>
      <c r="I17" s="57"/>
      <c r="J17" s="63">
        <v>8429.76</v>
      </c>
      <c r="K17" s="62"/>
      <c r="L17" s="56">
        <f t="shared" si="0"/>
        <v>1770.2495999999999</v>
      </c>
      <c r="M17" s="61"/>
      <c r="N17" s="61"/>
      <c r="O17" s="63"/>
      <c r="P17" s="61"/>
      <c r="Q17" s="61"/>
      <c r="R17" s="63">
        <f t="shared" si="1"/>
        <v>10200.009599999999</v>
      </c>
    </row>
    <row r="18" spans="1:18" s="53" customFormat="1" ht="17.399999999999999" customHeight="1" x14ac:dyDescent="0.3">
      <c r="A18" s="56" t="s">
        <v>48</v>
      </c>
      <c r="B18" s="57" t="s">
        <v>44</v>
      </c>
      <c r="C18" s="58">
        <v>1</v>
      </c>
      <c r="D18" s="59">
        <v>3574</v>
      </c>
      <c r="E18" s="56" t="s">
        <v>68</v>
      </c>
      <c r="F18" s="56" t="s">
        <v>68</v>
      </c>
      <c r="G18" s="57"/>
      <c r="H18" s="60"/>
      <c r="I18" s="57"/>
      <c r="J18" s="63">
        <v>5702.48</v>
      </c>
      <c r="K18" s="62"/>
      <c r="L18" s="56">
        <f t="shared" si="0"/>
        <v>1197.5207999999998</v>
      </c>
      <c r="M18" s="61"/>
      <c r="N18" s="61"/>
      <c r="O18" s="63"/>
      <c r="P18" s="61"/>
      <c r="Q18" s="61"/>
      <c r="R18" s="63">
        <f t="shared" si="1"/>
        <v>6900.0007999999998</v>
      </c>
    </row>
    <row r="19" spans="1:18" s="53" customFormat="1" ht="17.399999999999999" customHeight="1" x14ac:dyDescent="0.3">
      <c r="A19" s="56" t="s">
        <v>48</v>
      </c>
      <c r="B19" s="57" t="s">
        <v>44</v>
      </c>
      <c r="C19" s="58">
        <v>1</v>
      </c>
      <c r="D19" s="59">
        <v>3575</v>
      </c>
      <c r="E19" s="56" t="s">
        <v>68</v>
      </c>
      <c r="F19" s="56" t="s">
        <v>68</v>
      </c>
      <c r="G19" s="57"/>
      <c r="H19" s="60"/>
      <c r="I19" s="57"/>
      <c r="J19" s="63">
        <v>6528.9</v>
      </c>
      <c r="K19" s="62"/>
      <c r="L19" s="56">
        <f t="shared" si="0"/>
        <v>1371.069</v>
      </c>
      <c r="M19" s="61"/>
      <c r="N19" s="61"/>
      <c r="O19" s="63"/>
      <c r="P19" s="61"/>
      <c r="Q19" s="61"/>
      <c r="R19" s="63">
        <f t="shared" si="1"/>
        <v>7899.9689999999991</v>
      </c>
    </row>
    <row r="20" spans="1:18" s="53" customFormat="1" ht="17.399999999999999" customHeight="1" x14ac:dyDescent="0.3">
      <c r="A20" s="56" t="s">
        <v>48</v>
      </c>
      <c r="B20" s="57" t="s">
        <v>44</v>
      </c>
      <c r="C20" s="58">
        <v>1</v>
      </c>
      <c r="D20" s="59">
        <v>3576</v>
      </c>
      <c r="E20" s="56" t="s">
        <v>68</v>
      </c>
      <c r="F20" s="56" t="s">
        <v>68</v>
      </c>
      <c r="G20" s="57"/>
      <c r="H20" s="60"/>
      <c r="I20" s="57"/>
      <c r="J20" s="63">
        <v>10330.57</v>
      </c>
      <c r="K20" s="62"/>
      <c r="L20" s="56">
        <f t="shared" si="0"/>
        <v>2169.4196999999999</v>
      </c>
      <c r="M20" s="61"/>
      <c r="N20" s="61"/>
      <c r="O20" s="63"/>
      <c r="P20" s="61"/>
      <c r="Q20" s="61"/>
      <c r="R20" s="63">
        <f t="shared" si="1"/>
        <v>12499.9897</v>
      </c>
    </row>
    <row r="21" spans="1:18" s="53" customFormat="1" ht="17.399999999999999" customHeight="1" x14ac:dyDescent="0.3">
      <c r="A21" s="56" t="s">
        <v>49</v>
      </c>
      <c r="B21" s="57" t="s">
        <v>44</v>
      </c>
      <c r="C21" s="58">
        <v>1</v>
      </c>
      <c r="D21" s="59">
        <v>3578</v>
      </c>
      <c r="E21" s="56" t="s">
        <v>68</v>
      </c>
      <c r="F21" s="56" t="s">
        <v>68</v>
      </c>
      <c r="G21" s="57"/>
      <c r="H21" s="60"/>
      <c r="I21" s="57"/>
      <c r="J21" s="63">
        <v>7851.24</v>
      </c>
      <c r="K21" s="62"/>
      <c r="L21" s="56">
        <f t="shared" si="0"/>
        <v>1648.7603999999999</v>
      </c>
      <c r="M21" s="61"/>
      <c r="N21" s="61"/>
      <c r="O21" s="63"/>
      <c r="P21" s="61"/>
      <c r="Q21" s="61"/>
      <c r="R21" s="63">
        <f t="shared" si="1"/>
        <v>9500.000399999999</v>
      </c>
    </row>
    <row r="22" spans="1:18" s="53" customFormat="1" ht="17.399999999999999" customHeight="1" x14ac:dyDescent="0.3">
      <c r="A22" s="56" t="s">
        <v>49</v>
      </c>
      <c r="B22" s="57" t="s">
        <v>44</v>
      </c>
      <c r="C22" s="58">
        <v>1</v>
      </c>
      <c r="D22" s="59">
        <v>3579</v>
      </c>
      <c r="E22" s="56" t="s">
        <v>68</v>
      </c>
      <c r="F22" s="56" t="s">
        <v>68</v>
      </c>
      <c r="G22" s="57"/>
      <c r="H22" s="60"/>
      <c r="I22" s="57"/>
      <c r="J22" s="63">
        <v>7190.1</v>
      </c>
      <c r="K22" s="62"/>
      <c r="L22" s="56">
        <f t="shared" si="0"/>
        <v>1509.921</v>
      </c>
      <c r="M22" s="61"/>
      <c r="N22" s="61"/>
      <c r="O22" s="63"/>
      <c r="P22" s="61"/>
      <c r="Q22" s="61"/>
      <c r="R22" s="63">
        <f t="shared" si="1"/>
        <v>8700.0210000000006</v>
      </c>
    </row>
    <row r="23" spans="1:18" s="53" customFormat="1" ht="17.399999999999999" customHeight="1" x14ac:dyDescent="0.3">
      <c r="A23" s="56" t="s">
        <v>49</v>
      </c>
      <c r="B23" s="57" t="s">
        <v>44</v>
      </c>
      <c r="C23" s="58">
        <v>1</v>
      </c>
      <c r="D23" s="59">
        <v>3580</v>
      </c>
      <c r="E23" s="56" t="s">
        <v>68</v>
      </c>
      <c r="F23" s="56" t="s">
        <v>68</v>
      </c>
      <c r="G23" s="57"/>
      <c r="H23" s="60"/>
      <c r="I23" s="57"/>
      <c r="J23" s="63">
        <v>9256.19</v>
      </c>
      <c r="K23" s="62"/>
      <c r="L23" s="56">
        <f t="shared" si="0"/>
        <v>1943.7999</v>
      </c>
      <c r="M23" s="61"/>
      <c r="N23" s="61"/>
      <c r="O23" s="63"/>
      <c r="P23" s="61"/>
      <c r="Q23" s="61"/>
      <c r="R23" s="63">
        <f t="shared" si="1"/>
        <v>11199.9899</v>
      </c>
    </row>
    <row r="24" spans="1:18" s="53" customFormat="1" ht="17.399999999999999" customHeight="1" x14ac:dyDescent="0.3">
      <c r="A24" s="56" t="s">
        <v>49</v>
      </c>
      <c r="B24" s="57" t="s">
        <v>44</v>
      </c>
      <c r="C24" s="58">
        <v>1</v>
      </c>
      <c r="D24" s="59">
        <v>3577</v>
      </c>
      <c r="E24" s="56" t="s">
        <v>68</v>
      </c>
      <c r="F24" s="56" t="s">
        <v>68</v>
      </c>
      <c r="G24" s="57"/>
      <c r="H24" s="60"/>
      <c r="I24" s="57"/>
      <c r="J24" s="63">
        <v>8429.76</v>
      </c>
      <c r="K24" s="62"/>
      <c r="L24" s="56">
        <f t="shared" si="0"/>
        <v>1770.2495999999999</v>
      </c>
      <c r="M24" s="61"/>
      <c r="N24" s="61"/>
      <c r="O24" s="63"/>
      <c r="P24" s="61"/>
      <c r="Q24" s="61"/>
      <c r="R24" s="63">
        <f t="shared" si="1"/>
        <v>10200.009599999999</v>
      </c>
    </row>
    <row r="25" spans="1:18" s="53" customFormat="1" ht="17.399999999999999" customHeight="1" x14ac:dyDescent="0.3">
      <c r="A25" s="56" t="s">
        <v>50</v>
      </c>
      <c r="B25" s="57" t="s">
        <v>44</v>
      </c>
      <c r="C25" s="58">
        <v>1</v>
      </c>
      <c r="D25" s="59">
        <v>3581</v>
      </c>
      <c r="E25" s="56" t="s">
        <v>68</v>
      </c>
      <c r="F25" s="56" t="s">
        <v>68</v>
      </c>
      <c r="G25" s="57"/>
      <c r="H25" s="60"/>
      <c r="I25" s="57"/>
      <c r="J25" s="63">
        <v>12562</v>
      </c>
      <c r="K25" s="62"/>
      <c r="L25" s="56">
        <f t="shared" si="0"/>
        <v>2638.02</v>
      </c>
      <c r="M25" s="61"/>
      <c r="N25" s="61"/>
      <c r="O25" s="63"/>
      <c r="P25" s="61"/>
      <c r="Q25" s="61"/>
      <c r="R25" s="63">
        <f t="shared" si="1"/>
        <v>15200.02</v>
      </c>
    </row>
    <row r="26" spans="1:18" s="53" customFormat="1" ht="17.399999999999999" customHeight="1" x14ac:dyDescent="0.3">
      <c r="A26" s="56" t="s">
        <v>51</v>
      </c>
      <c r="B26" s="57" t="s">
        <v>44</v>
      </c>
      <c r="C26" s="58">
        <v>1</v>
      </c>
      <c r="D26" s="59">
        <v>3582</v>
      </c>
      <c r="E26" s="56" t="s">
        <v>68</v>
      </c>
      <c r="F26" s="56" t="s">
        <v>68</v>
      </c>
      <c r="G26" s="57"/>
      <c r="H26" s="60"/>
      <c r="I26" s="57"/>
      <c r="J26" s="63">
        <v>5371.9</v>
      </c>
      <c r="K26" s="62"/>
      <c r="L26" s="56">
        <f t="shared" si="0"/>
        <v>1128.0989999999999</v>
      </c>
      <c r="M26" s="61"/>
      <c r="N26" s="61"/>
      <c r="O26" s="63"/>
      <c r="P26" s="61"/>
      <c r="Q26" s="61"/>
      <c r="R26" s="63">
        <f t="shared" si="1"/>
        <v>6499.9989999999998</v>
      </c>
    </row>
    <row r="27" spans="1:18" s="53" customFormat="1" ht="17.399999999999999" customHeight="1" x14ac:dyDescent="0.3">
      <c r="A27" s="56" t="s">
        <v>51</v>
      </c>
      <c r="B27" s="57" t="s">
        <v>44</v>
      </c>
      <c r="C27" s="58">
        <v>1</v>
      </c>
      <c r="D27" s="59">
        <v>3583</v>
      </c>
      <c r="E27" s="56" t="s">
        <v>68</v>
      </c>
      <c r="F27" s="56" t="s">
        <v>68</v>
      </c>
      <c r="G27" s="57"/>
      <c r="H27" s="60"/>
      <c r="I27" s="57"/>
      <c r="J27" s="63">
        <v>15289.24</v>
      </c>
      <c r="K27" s="62"/>
      <c r="L27" s="56">
        <f t="shared" si="0"/>
        <v>3210.7403999999997</v>
      </c>
      <c r="M27" s="61"/>
      <c r="N27" s="61"/>
      <c r="O27" s="63"/>
      <c r="P27" s="61"/>
      <c r="Q27" s="61"/>
      <c r="R27" s="63">
        <f t="shared" si="1"/>
        <v>18499.9804</v>
      </c>
    </row>
    <row r="28" spans="1:18" s="53" customFormat="1" ht="17.399999999999999" customHeight="1" x14ac:dyDescent="0.3">
      <c r="A28" s="56" t="s">
        <v>52</v>
      </c>
      <c r="B28" s="57" t="s">
        <v>44</v>
      </c>
      <c r="C28" s="58">
        <v>1</v>
      </c>
      <c r="D28" s="59">
        <v>3584</v>
      </c>
      <c r="E28" s="56" t="s">
        <v>68</v>
      </c>
      <c r="F28" s="56" t="s">
        <v>68</v>
      </c>
      <c r="G28" s="57"/>
      <c r="H28" s="60"/>
      <c r="I28" s="57"/>
      <c r="J28" s="63">
        <v>8099.19</v>
      </c>
      <c r="K28" s="62"/>
      <c r="L28" s="56">
        <f t="shared" si="0"/>
        <v>1700.8299</v>
      </c>
      <c r="M28" s="61"/>
      <c r="N28" s="61"/>
      <c r="O28" s="63"/>
      <c r="P28" s="61"/>
      <c r="Q28" s="61"/>
      <c r="R28" s="63">
        <f t="shared" si="1"/>
        <v>9800.0198999999993</v>
      </c>
    </row>
    <row r="29" spans="1:18" s="53" customFormat="1" ht="17.399999999999999" customHeight="1" x14ac:dyDescent="0.3">
      <c r="A29" s="56" t="s">
        <v>52</v>
      </c>
      <c r="B29" s="57" t="s">
        <v>44</v>
      </c>
      <c r="C29" s="58">
        <v>1</v>
      </c>
      <c r="D29" s="59">
        <v>3585</v>
      </c>
      <c r="E29" s="56" t="s">
        <v>68</v>
      </c>
      <c r="F29" s="56" t="s">
        <v>68</v>
      </c>
      <c r="G29" s="57"/>
      <c r="H29" s="60"/>
      <c r="I29" s="57"/>
      <c r="J29" s="63">
        <v>13057.86</v>
      </c>
      <c r="K29" s="62"/>
      <c r="L29" s="56">
        <f t="shared" si="0"/>
        <v>2742.1505999999999</v>
      </c>
      <c r="M29" s="61"/>
      <c r="N29" s="61"/>
      <c r="O29" s="63"/>
      <c r="P29" s="61"/>
      <c r="Q29" s="61"/>
      <c r="R29" s="63">
        <f t="shared" si="1"/>
        <v>15800.010600000001</v>
      </c>
    </row>
    <row r="30" spans="1:18" s="53" customFormat="1" ht="17.399999999999999" customHeight="1" x14ac:dyDescent="0.3">
      <c r="A30" s="56" t="s">
        <v>52</v>
      </c>
      <c r="B30" s="57" t="s">
        <v>44</v>
      </c>
      <c r="C30" s="58">
        <v>1</v>
      </c>
      <c r="D30" s="59">
        <v>3586</v>
      </c>
      <c r="E30" s="56" t="s">
        <v>68</v>
      </c>
      <c r="F30" s="56" t="s">
        <v>68</v>
      </c>
      <c r="G30" s="57"/>
      <c r="H30" s="60"/>
      <c r="I30" s="57"/>
      <c r="J30" s="63">
        <v>8429.76</v>
      </c>
      <c r="K30" s="62"/>
      <c r="L30" s="56">
        <f t="shared" si="0"/>
        <v>1770.2495999999999</v>
      </c>
      <c r="M30" s="61"/>
      <c r="N30" s="61"/>
      <c r="O30" s="63"/>
      <c r="P30" s="61"/>
      <c r="Q30" s="61"/>
      <c r="R30" s="63">
        <f t="shared" si="1"/>
        <v>10200.009599999999</v>
      </c>
    </row>
    <row r="31" spans="1:18" s="53" customFormat="1" ht="17.399999999999999" customHeight="1" x14ac:dyDescent="0.3">
      <c r="A31" s="56" t="s">
        <v>53</v>
      </c>
      <c r="B31" s="57" t="s">
        <v>44</v>
      </c>
      <c r="C31" s="58">
        <v>1</v>
      </c>
      <c r="D31" s="59">
        <v>3587</v>
      </c>
      <c r="E31" s="56" t="s">
        <v>68</v>
      </c>
      <c r="F31" s="56" t="s">
        <v>68</v>
      </c>
      <c r="G31" s="57"/>
      <c r="H31" s="60"/>
      <c r="I31" s="57"/>
      <c r="J31" s="63">
        <v>8099.19</v>
      </c>
      <c r="K31" s="62"/>
      <c r="L31" s="56">
        <f t="shared" si="0"/>
        <v>1700.8299</v>
      </c>
      <c r="M31" s="61"/>
      <c r="N31" s="61"/>
      <c r="O31" s="63"/>
      <c r="P31" s="61"/>
      <c r="Q31" s="61"/>
      <c r="R31" s="63">
        <f t="shared" si="1"/>
        <v>9800.0198999999993</v>
      </c>
    </row>
    <row r="32" spans="1:18" s="53" customFormat="1" ht="17.399999999999999" customHeight="1" x14ac:dyDescent="0.3">
      <c r="A32" s="56" t="s">
        <v>53</v>
      </c>
      <c r="B32" s="57" t="s">
        <v>44</v>
      </c>
      <c r="C32" s="58">
        <v>1</v>
      </c>
      <c r="D32" s="59">
        <v>3588</v>
      </c>
      <c r="E32" s="56" t="s">
        <v>68</v>
      </c>
      <c r="F32" s="56" t="s">
        <v>68</v>
      </c>
      <c r="G32" s="57"/>
      <c r="H32" s="60"/>
      <c r="I32" s="57"/>
      <c r="J32" s="63">
        <v>8099.19</v>
      </c>
      <c r="K32" s="62"/>
      <c r="L32" s="56">
        <f t="shared" si="0"/>
        <v>1700.8299</v>
      </c>
      <c r="M32" s="61"/>
      <c r="N32" s="61"/>
      <c r="O32" s="63"/>
      <c r="P32" s="61"/>
      <c r="Q32" s="61"/>
      <c r="R32" s="63">
        <f t="shared" si="1"/>
        <v>9800.0198999999993</v>
      </c>
    </row>
    <row r="33" spans="1:18" s="53" customFormat="1" ht="17.399999999999999" customHeight="1" x14ac:dyDescent="0.3">
      <c r="A33" s="56" t="s">
        <v>53</v>
      </c>
      <c r="B33" s="57" t="s">
        <v>44</v>
      </c>
      <c r="C33" s="58">
        <v>1</v>
      </c>
      <c r="D33" s="59">
        <v>3589</v>
      </c>
      <c r="E33" s="56" t="s">
        <v>68</v>
      </c>
      <c r="F33" s="56" t="s">
        <v>68</v>
      </c>
      <c r="G33" s="57"/>
      <c r="H33" s="60"/>
      <c r="I33" s="57"/>
      <c r="J33" s="63">
        <v>5371.9</v>
      </c>
      <c r="K33" s="62"/>
      <c r="L33" s="56">
        <f t="shared" si="0"/>
        <v>1128.0989999999999</v>
      </c>
      <c r="M33" s="61"/>
      <c r="N33" s="61"/>
      <c r="O33" s="63"/>
      <c r="P33" s="61"/>
      <c r="Q33" s="61"/>
      <c r="R33" s="63">
        <f t="shared" si="1"/>
        <v>6499.9989999999998</v>
      </c>
    </row>
    <row r="34" spans="1:18" s="53" customFormat="1" ht="17.399999999999999" customHeight="1" x14ac:dyDescent="0.3">
      <c r="A34" s="56" t="s">
        <v>54</v>
      </c>
      <c r="B34" s="57" t="s">
        <v>44</v>
      </c>
      <c r="C34" s="58">
        <v>1</v>
      </c>
      <c r="D34" s="59">
        <v>3590</v>
      </c>
      <c r="E34" s="56" t="s">
        <v>68</v>
      </c>
      <c r="F34" s="56" t="s">
        <v>68</v>
      </c>
      <c r="G34" s="57"/>
      <c r="H34" s="60"/>
      <c r="I34" s="57"/>
      <c r="J34" s="63">
        <v>8429.76</v>
      </c>
      <c r="K34" s="62"/>
      <c r="L34" s="56">
        <f t="shared" si="0"/>
        <v>1770.2495999999999</v>
      </c>
      <c r="M34" s="61"/>
      <c r="N34" s="61"/>
      <c r="O34" s="63"/>
      <c r="P34" s="61"/>
      <c r="Q34" s="61"/>
      <c r="R34" s="63">
        <f t="shared" si="1"/>
        <v>10200.009599999999</v>
      </c>
    </row>
    <row r="35" spans="1:18" s="53" customFormat="1" ht="17.399999999999999" customHeight="1" x14ac:dyDescent="0.3">
      <c r="A35" s="56" t="s">
        <v>54</v>
      </c>
      <c r="B35" s="57" t="s">
        <v>44</v>
      </c>
      <c r="C35" s="58">
        <v>1</v>
      </c>
      <c r="D35" s="59">
        <v>3591</v>
      </c>
      <c r="E35" s="56" t="s">
        <v>68</v>
      </c>
      <c r="F35" s="56" t="s">
        <v>68</v>
      </c>
      <c r="G35" s="57"/>
      <c r="H35" s="60"/>
      <c r="I35" s="57"/>
      <c r="J35" s="63">
        <v>8016.52</v>
      </c>
      <c r="K35" s="62"/>
      <c r="L35" s="56">
        <f t="shared" si="0"/>
        <v>1683.4692</v>
      </c>
      <c r="M35" s="61"/>
      <c r="N35" s="61"/>
      <c r="O35" s="63"/>
      <c r="P35" s="61"/>
      <c r="Q35" s="61"/>
      <c r="R35" s="63">
        <f t="shared" si="1"/>
        <v>9699.9892</v>
      </c>
    </row>
    <row r="36" spans="1:18" s="53" customFormat="1" ht="17.399999999999999" customHeight="1" x14ac:dyDescent="0.3">
      <c r="A36" s="56" t="s">
        <v>54</v>
      </c>
      <c r="B36" s="57" t="s">
        <v>44</v>
      </c>
      <c r="C36" s="58">
        <v>1</v>
      </c>
      <c r="D36" s="59">
        <v>3592</v>
      </c>
      <c r="E36" s="56" t="s">
        <v>68</v>
      </c>
      <c r="F36" s="56" t="s">
        <v>68</v>
      </c>
      <c r="G36" s="57"/>
      <c r="H36" s="60"/>
      <c r="I36" s="57"/>
      <c r="J36" s="63">
        <v>4793.38</v>
      </c>
      <c r="K36" s="62"/>
      <c r="L36" s="56">
        <f t="shared" si="0"/>
        <v>1006.6098</v>
      </c>
      <c r="M36" s="61"/>
      <c r="N36" s="61"/>
      <c r="O36" s="63"/>
      <c r="P36" s="61"/>
      <c r="Q36" s="61"/>
      <c r="R36" s="63">
        <f t="shared" si="1"/>
        <v>5799.9898000000003</v>
      </c>
    </row>
    <row r="37" spans="1:18" s="53" customFormat="1" ht="17.399999999999999" customHeight="1" x14ac:dyDescent="0.3">
      <c r="A37" s="56" t="s">
        <v>54</v>
      </c>
      <c r="B37" s="57" t="s">
        <v>44</v>
      </c>
      <c r="C37" s="58">
        <v>1</v>
      </c>
      <c r="D37" s="59">
        <v>3593</v>
      </c>
      <c r="E37" s="56" t="s">
        <v>68</v>
      </c>
      <c r="F37" s="56" t="s">
        <v>68</v>
      </c>
      <c r="G37" s="57"/>
      <c r="H37" s="60"/>
      <c r="I37" s="57"/>
      <c r="J37" s="63">
        <v>4049.57</v>
      </c>
      <c r="K37" s="62"/>
      <c r="L37" s="56">
        <f t="shared" si="0"/>
        <v>850.40970000000004</v>
      </c>
      <c r="M37" s="61"/>
      <c r="N37" s="61"/>
      <c r="O37" s="63"/>
      <c r="P37" s="61"/>
      <c r="Q37" s="61"/>
      <c r="R37" s="63">
        <f t="shared" si="1"/>
        <v>4899.9796999999999</v>
      </c>
    </row>
    <row r="38" spans="1:18" s="53" customFormat="1" ht="17.399999999999999" customHeight="1" x14ac:dyDescent="0.3">
      <c r="A38" s="56" t="s">
        <v>55</v>
      </c>
      <c r="B38" s="57" t="s">
        <v>43</v>
      </c>
      <c r="C38" s="58">
        <v>1</v>
      </c>
      <c r="D38" s="59">
        <v>317</v>
      </c>
      <c r="E38" s="56" t="s">
        <v>67</v>
      </c>
      <c r="F38" s="56">
        <v>30714264393</v>
      </c>
      <c r="G38" s="57"/>
      <c r="H38" s="60"/>
      <c r="I38" s="57"/>
      <c r="J38" s="63">
        <v>780000</v>
      </c>
      <c r="K38" s="62"/>
      <c r="L38" s="56">
        <f t="shared" si="0"/>
        <v>163800</v>
      </c>
      <c r="M38" s="61"/>
      <c r="N38" s="61"/>
      <c r="O38" s="63"/>
      <c r="P38" s="61"/>
      <c r="Q38" s="61"/>
      <c r="R38" s="63">
        <f t="shared" si="1"/>
        <v>943800</v>
      </c>
    </row>
    <row r="39" spans="1:18" s="53" customFormat="1" ht="17.399999999999999" customHeight="1" x14ac:dyDescent="0.3">
      <c r="A39" s="56" t="s">
        <v>55</v>
      </c>
      <c r="B39" s="57" t="s">
        <v>44</v>
      </c>
      <c r="C39" s="58">
        <v>1</v>
      </c>
      <c r="D39" s="59">
        <v>3594</v>
      </c>
      <c r="E39" s="56" t="s">
        <v>68</v>
      </c>
      <c r="F39" s="56" t="s">
        <v>68</v>
      </c>
      <c r="G39" s="57"/>
      <c r="H39" s="60"/>
      <c r="I39" s="57"/>
      <c r="J39" s="63">
        <v>8512.3799999999992</v>
      </c>
      <c r="K39" s="62"/>
      <c r="L39" s="56">
        <f t="shared" si="0"/>
        <v>1787.5997999999997</v>
      </c>
      <c r="M39" s="61"/>
      <c r="N39" s="61"/>
      <c r="O39" s="63"/>
      <c r="P39" s="61"/>
      <c r="Q39" s="61"/>
      <c r="R39" s="63">
        <f t="shared" si="1"/>
        <v>10299.979799999999</v>
      </c>
    </row>
    <row r="40" spans="1:18" s="53" customFormat="1" ht="17.399999999999999" customHeight="1" x14ac:dyDescent="0.3">
      <c r="A40" s="56" t="s">
        <v>55</v>
      </c>
      <c r="B40" s="57" t="s">
        <v>44</v>
      </c>
      <c r="C40" s="58">
        <v>1</v>
      </c>
      <c r="D40" s="59">
        <v>3595</v>
      </c>
      <c r="E40" s="56" t="s">
        <v>68</v>
      </c>
      <c r="F40" s="56" t="s">
        <v>68</v>
      </c>
      <c r="G40" s="57"/>
      <c r="H40" s="60"/>
      <c r="I40" s="57"/>
      <c r="J40" s="63">
        <v>16942.14</v>
      </c>
      <c r="K40" s="62"/>
      <c r="L40" s="56">
        <f t="shared" si="0"/>
        <v>3557.8493999999996</v>
      </c>
      <c r="M40" s="61"/>
      <c r="N40" s="61"/>
      <c r="O40" s="63"/>
      <c r="P40" s="61"/>
      <c r="Q40" s="61"/>
      <c r="R40" s="63">
        <f t="shared" si="1"/>
        <v>20499.989399999999</v>
      </c>
    </row>
    <row r="41" spans="1:18" s="53" customFormat="1" ht="17.399999999999999" customHeight="1" x14ac:dyDescent="0.3">
      <c r="A41" s="56" t="s">
        <v>56</v>
      </c>
      <c r="B41" s="57" t="s">
        <v>44</v>
      </c>
      <c r="C41" s="58">
        <v>1</v>
      </c>
      <c r="D41" s="59">
        <v>3596</v>
      </c>
      <c r="E41" s="56" t="s">
        <v>68</v>
      </c>
      <c r="F41" s="56" t="s">
        <v>68</v>
      </c>
      <c r="G41" s="57"/>
      <c r="H41" s="60"/>
      <c r="I41" s="57"/>
      <c r="J41" s="63">
        <v>12396.71</v>
      </c>
      <c r="K41" s="62"/>
      <c r="L41" s="56">
        <f t="shared" si="0"/>
        <v>2603.3090999999999</v>
      </c>
      <c r="M41" s="61"/>
      <c r="N41" s="61"/>
      <c r="O41" s="63"/>
      <c r="P41" s="61"/>
      <c r="Q41" s="61"/>
      <c r="R41" s="63">
        <f t="shared" si="1"/>
        <v>15000.0191</v>
      </c>
    </row>
    <row r="42" spans="1:18" s="53" customFormat="1" ht="17.399999999999999" customHeight="1" x14ac:dyDescent="0.3">
      <c r="A42" s="56" t="s">
        <v>56</v>
      </c>
      <c r="B42" s="57" t="s">
        <v>44</v>
      </c>
      <c r="C42" s="58">
        <v>1</v>
      </c>
      <c r="D42" s="59">
        <v>3597</v>
      </c>
      <c r="E42" s="56" t="s">
        <v>68</v>
      </c>
      <c r="F42" s="56" t="s">
        <v>68</v>
      </c>
      <c r="G42" s="57"/>
      <c r="H42" s="60"/>
      <c r="I42" s="57"/>
      <c r="J42" s="63">
        <v>20661.14</v>
      </c>
      <c r="K42" s="62"/>
      <c r="L42" s="56">
        <f t="shared" si="0"/>
        <v>4338.8393999999998</v>
      </c>
      <c r="M42" s="61"/>
      <c r="N42" s="61"/>
      <c r="O42" s="63"/>
      <c r="P42" s="61"/>
      <c r="Q42" s="61"/>
      <c r="R42" s="63">
        <f t="shared" si="1"/>
        <v>24999.9794</v>
      </c>
    </row>
    <row r="43" spans="1:18" s="53" customFormat="1" ht="17.399999999999999" customHeight="1" x14ac:dyDescent="0.3">
      <c r="A43" s="56" t="s">
        <v>57</v>
      </c>
      <c r="B43" s="57" t="s">
        <v>44</v>
      </c>
      <c r="C43" s="58">
        <v>1</v>
      </c>
      <c r="D43" s="59">
        <v>3598</v>
      </c>
      <c r="E43" s="56" t="s">
        <v>68</v>
      </c>
      <c r="F43" s="56" t="s">
        <v>68</v>
      </c>
      <c r="G43" s="57"/>
      <c r="H43" s="60"/>
      <c r="I43" s="57"/>
      <c r="J43" s="63">
        <v>9090.9</v>
      </c>
      <c r="K43" s="62"/>
      <c r="L43" s="56">
        <f t="shared" si="0"/>
        <v>1909.0889999999999</v>
      </c>
      <c r="M43" s="61"/>
      <c r="N43" s="61"/>
      <c r="O43" s="63"/>
      <c r="P43" s="61"/>
      <c r="Q43" s="61"/>
      <c r="R43" s="63">
        <f t="shared" si="1"/>
        <v>10999.989</v>
      </c>
    </row>
    <row r="44" spans="1:18" s="53" customFormat="1" ht="17.399999999999999" customHeight="1" x14ac:dyDescent="0.3">
      <c r="A44" s="56" t="s">
        <v>57</v>
      </c>
      <c r="B44" s="57" t="s">
        <v>44</v>
      </c>
      <c r="C44" s="58">
        <v>1</v>
      </c>
      <c r="D44" s="59">
        <v>3599</v>
      </c>
      <c r="E44" s="56" t="s">
        <v>68</v>
      </c>
      <c r="F44" s="56" t="s">
        <v>68</v>
      </c>
      <c r="G44" s="57"/>
      <c r="H44" s="60"/>
      <c r="I44" s="57"/>
      <c r="J44" s="63">
        <v>8099.19</v>
      </c>
      <c r="K44" s="62"/>
      <c r="L44" s="56">
        <f t="shared" si="0"/>
        <v>1700.8299</v>
      </c>
      <c r="M44" s="61"/>
      <c r="N44" s="61"/>
      <c r="O44" s="63"/>
      <c r="P44" s="61"/>
      <c r="Q44" s="61"/>
      <c r="R44" s="63">
        <f t="shared" si="1"/>
        <v>9800.0198999999993</v>
      </c>
    </row>
    <row r="45" spans="1:18" s="53" customFormat="1" ht="17.399999999999999" customHeight="1" x14ac:dyDescent="0.3">
      <c r="A45" s="56" t="s">
        <v>57</v>
      </c>
      <c r="B45" s="57" t="s">
        <v>44</v>
      </c>
      <c r="C45" s="58">
        <v>1</v>
      </c>
      <c r="D45" s="59">
        <v>3600</v>
      </c>
      <c r="E45" s="56" t="s">
        <v>68</v>
      </c>
      <c r="F45" s="56" t="s">
        <v>68</v>
      </c>
      <c r="G45" s="57"/>
      <c r="H45" s="60"/>
      <c r="I45" s="57"/>
      <c r="J45" s="63">
        <v>4297.5200000000004</v>
      </c>
      <c r="K45" s="62"/>
      <c r="L45" s="56">
        <f t="shared" si="0"/>
        <v>902.47920000000011</v>
      </c>
      <c r="M45" s="61"/>
      <c r="N45" s="61"/>
      <c r="O45" s="63"/>
      <c r="P45" s="61"/>
      <c r="Q45" s="61"/>
      <c r="R45" s="63">
        <f t="shared" si="1"/>
        <v>5199.9992000000002</v>
      </c>
    </row>
    <row r="46" spans="1:18" s="53" customFormat="1" ht="17.399999999999999" customHeight="1" x14ac:dyDescent="0.3">
      <c r="A46" s="56" t="s">
        <v>58</v>
      </c>
      <c r="B46" s="57" t="s">
        <v>43</v>
      </c>
      <c r="C46" s="58">
        <v>1</v>
      </c>
      <c r="D46" s="59">
        <v>318</v>
      </c>
      <c r="E46" s="56" t="s">
        <v>66</v>
      </c>
      <c r="F46" s="56">
        <v>30707620192</v>
      </c>
      <c r="G46" s="57"/>
      <c r="H46" s="60"/>
      <c r="I46" s="57"/>
      <c r="J46" s="63">
        <v>582000</v>
      </c>
      <c r="K46" s="62"/>
      <c r="L46" s="56">
        <f t="shared" si="0"/>
        <v>122220</v>
      </c>
      <c r="M46" s="61"/>
      <c r="N46" s="61"/>
      <c r="O46" s="63"/>
      <c r="P46" s="61"/>
      <c r="Q46" s="61"/>
      <c r="R46" s="63">
        <f t="shared" si="1"/>
        <v>704220</v>
      </c>
    </row>
    <row r="47" spans="1:18" s="53" customFormat="1" ht="17.399999999999999" customHeight="1" x14ac:dyDescent="0.3">
      <c r="A47" s="56" t="s">
        <v>58</v>
      </c>
      <c r="B47" s="57" t="s">
        <v>44</v>
      </c>
      <c r="C47" s="58">
        <v>1</v>
      </c>
      <c r="D47" s="59">
        <v>3601</v>
      </c>
      <c r="E47" s="56" t="s">
        <v>68</v>
      </c>
      <c r="F47" s="56" t="s">
        <v>68</v>
      </c>
      <c r="G47" s="57"/>
      <c r="H47" s="60"/>
      <c r="I47" s="57"/>
      <c r="J47" s="63">
        <v>7851.24</v>
      </c>
      <c r="K47" s="62"/>
      <c r="L47" s="56">
        <f t="shared" si="0"/>
        <v>1648.7603999999999</v>
      </c>
      <c r="M47" s="61"/>
      <c r="N47" s="61"/>
      <c r="O47" s="63"/>
      <c r="P47" s="61"/>
      <c r="Q47" s="61"/>
      <c r="R47" s="63">
        <f t="shared" si="1"/>
        <v>9500.000399999999</v>
      </c>
    </row>
    <row r="48" spans="1:18" s="53" customFormat="1" ht="17.399999999999999" customHeight="1" x14ac:dyDescent="0.3">
      <c r="A48" s="56" t="s">
        <v>58</v>
      </c>
      <c r="B48" s="57" t="s">
        <v>44</v>
      </c>
      <c r="C48" s="58">
        <v>1</v>
      </c>
      <c r="D48" s="59">
        <v>3602</v>
      </c>
      <c r="E48" s="56" t="s">
        <v>68</v>
      </c>
      <c r="F48" s="56" t="s">
        <v>68</v>
      </c>
      <c r="G48" s="57"/>
      <c r="H48" s="60"/>
      <c r="I48" s="57"/>
      <c r="J48" s="61">
        <v>9917.33</v>
      </c>
      <c r="K48" s="62"/>
      <c r="L48" s="56">
        <f t="shared" si="0"/>
        <v>2082.6392999999998</v>
      </c>
      <c r="M48" s="61"/>
      <c r="N48" s="61"/>
      <c r="O48" s="61"/>
      <c r="P48" s="61"/>
      <c r="Q48" s="61"/>
      <c r="R48" s="63">
        <f t="shared" si="1"/>
        <v>11999.969300000001</v>
      </c>
    </row>
    <row r="49" spans="1:18" s="53" customFormat="1" ht="17.399999999999999" customHeight="1" x14ac:dyDescent="0.3">
      <c r="A49" s="56" t="s">
        <v>58</v>
      </c>
      <c r="B49" s="57" t="s">
        <v>44</v>
      </c>
      <c r="C49" s="58">
        <v>1</v>
      </c>
      <c r="D49" s="59">
        <v>3603</v>
      </c>
      <c r="E49" s="56" t="s">
        <v>68</v>
      </c>
      <c r="F49" s="56" t="s">
        <v>68</v>
      </c>
      <c r="G49" s="57"/>
      <c r="H49" s="60"/>
      <c r="I49" s="57"/>
      <c r="J49" s="63">
        <v>5371.9</v>
      </c>
      <c r="K49" s="62"/>
      <c r="L49" s="56">
        <f t="shared" si="0"/>
        <v>1128.0989999999999</v>
      </c>
      <c r="M49" s="61"/>
      <c r="N49" s="61"/>
      <c r="O49" s="63"/>
      <c r="P49" s="61"/>
      <c r="Q49" s="61"/>
      <c r="R49" s="63">
        <f t="shared" si="1"/>
        <v>6499.9989999999998</v>
      </c>
    </row>
    <row r="50" spans="1:18" s="53" customFormat="1" ht="17.399999999999999" customHeight="1" x14ac:dyDescent="0.3">
      <c r="A50" s="56" t="s">
        <v>59</v>
      </c>
      <c r="B50" s="57" t="s">
        <v>44</v>
      </c>
      <c r="C50" s="58">
        <v>1</v>
      </c>
      <c r="D50" s="59">
        <v>3604</v>
      </c>
      <c r="E50" s="56" t="s">
        <v>68</v>
      </c>
      <c r="F50" s="56" t="s">
        <v>68</v>
      </c>
      <c r="G50" s="57"/>
      <c r="H50" s="60"/>
      <c r="I50" s="57"/>
      <c r="J50" s="63">
        <v>12562</v>
      </c>
      <c r="K50" s="62"/>
      <c r="L50" s="56">
        <f t="shared" si="0"/>
        <v>2638.02</v>
      </c>
      <c r="M50" s="61"/>
      <c r="N50" s="61"/>
      <c r="O50" s="63"/>
      <c r="P50" s="61"/>
      <c r="Q50" s="61"/>
      <c r="R50" s="63">
        <f t="shared" si="1"/>
        <v>15200.02</v>
      </c>
    </row>
    <row r="51" spans="1:18" s="53" customFormat="1" ht="17.399999999999999" customHeight="1" x14ac:dyDescent="0.3">
      <c r="A51" s="56" t="s">
        <v>59</v>
      </c>
      <c r="B51" s="57" t="s">
        <v>44</v>
      </c>
      <c r="C51" s="58">
        <v>1</v>
      </c>
      <c r="D51" s="59">
        <v>3605</v>
      </c>
      <c r="E51" s="56" t="s">
        <v>68</v>
      </c>
      <c r="F51" s="56" t="s">
        <v>68</v>
      </c>
      <c r="G51" s="57"/>
      <c r="H51" s="60"/>
      <c r="I51" s="57"/>
      <c r="J51" s="63">
        <v>8099.19</v>
      </c>
      <c r="K51" s="62"/>
      <c r="L51" s="56">
        <f t="shared" si="0"/>
        <v>1700.8299</v>
      </c>
      <c r="M51" s="61"/>
      <c r="N51" s="61"/>
      <c r="O51" s="63"/>
      <c r="P51" s="61"/>
      <c r="Q51" s="61"/>
      <c r="R51" s="63">
        <f t="shared" si="1"/>
        <v>9800.0198999999993</v>
      </c>
    </row>
    <row r="52" spans="1:18" s="53" customFormat="1" ht="17.399999999999999" customHeight="1" x14ac:dyDescent="0.3">
      <c r="A52" s="56" t="s">
        <v>59</v>
      </c>
      <c r="B52" s="57" t="s">
        <v>44</v>
      </c>
      <c r="C52" s="58">
        <v>1</v>
      </c>
      <c r="D52" s="59">
        <v>3606</v>
      </c>
      <c r="E52" s="56" t="s">
        <v>68</v>
      </c>
      <c r="F52" s="56" t="s">
        <v>68</v>
      </c>
      <c r="G52" s="57"/>
      <c r="H52" s="60"/>
      <c r="I52" s="57"/>
      <c r="J52" s="61">
        <v>9256.19</v>
      </c>
      <c r="K52" s="62"/>
      <c r="L52" s="56">
        <f t="shared" si="0"/>
        <v>1943.7999</v>
      </c>
      <c r="M52" s="61"/>
      <c r="N52" s="61"/>
      <c r="O52" s="63"/>
      <c r="P52" s="61"/>
      <c r="Q52" s="61"/>
      <c r="R52" s="63">
        <f t="shared" si="1"/>
        <v>11199.9899</v>
      </c>
    </row>
    <row r="53" spans="1:18" s="53" customFormat="1" ht="17.399999999999999" customHeight="1" x14ac:dyDescent="0.3">
      <c r="A53" s="56" t="s">
        <v>60</v>
      </c>
      <c r="B53" s="57" t="s">
        <v>44</v>
      </c>
      <c r="C53" s="58">
        <v>1</v>
      </c>
      <c r="D53" s="59">
        <v>3607</v>
      </c>
      <c r="E53" s="56" t="s">
        <v>68</v>
      </c>
      <c r="F53" s="56" t="s">
        <v>68</v>
      </c>
      <c r="G53" s="57"/>
      <c r="H53" s="60"/>
      <c r="I53" s="57"/>
      <c r="J53" s="63">
        <v>9338.86</v>
      </c>
      <c r="K53" s="62"/>
      <c r="L53" s="56">
        <f t="shared" si="0"/>
        <v>1961.1606000000002</v>
      </c>
      <c r="M53" s="61"/>
      <c r="N53" s="61"/>
      <c r="O53" s="63"/>
      <c r="P53" s="61"/>
      <c r="Q53" s="61"/>
      <c r="R53" s="63">
        <f t="shared" si="1"/>
        <v>11300.0206</v>
      </c>
    </row>
    <row r="54" spans="1:18" s="53" customFormat="1" ht="17.399999999999999" customHeight="1" x14ac:dyDescent="0.3">
      <c r="A54" s="56" t="s">
        <v>60</v>
      </c>
      <c r="B54" s="57" t="s">
        <v>44</v>
      </c>
      <c r="C54" s="58">
        <v>1</v>
      </c>
      <c r="D54" s="59">
        <v>3608</v>
      </c>
      <c r="E54" s="56" t="s">
        <v>68</v>
      </c>
      <c r="F54" s="56" t="s">
        <v>68</v>
      </c>
      <c r="G54" s="57"/>
      <c r="H54" s="60"/>
      <c r="I54" s="57"/>
      <c r="J54" s="63">
        <v>2892.57</v>
      </c>
      <c r="K54" s="62"/>
      <c r="L54" s="56">
        <f t="shared" si="0"/>
        <v>607.43970000000002</v>
      </c>
      <c r="M54" s="63"/>
      <c r="N54" s="63"/>
      <c r="O54" s="63"/>
      <c r="P54" s="63"/>
      <c r="Q54" s="61"/>
      <c r="R54" s="63">
        <f t="shared" si="1"/>
        <v>3500.0097000000001</v>
      </c>
    </row>
    <row r="55" spans="1:18" s="53" customFormat="1" ht="17.399999999999999" customHeight="1" x14ac:dyDescent="0.3">
      <c r="A55" s="56" t="s">
        <v>61</v>
      </c>
      <c r="B55" s="57" t="s">
        <v>43</v>
      </c>
      <c r="C55" s="58">
        <v>1</v>
      </c>
      <c r="D55" s="59">
        <v>319</v>
      </c>
      <c r="E55" s="56" t="s">
        <v>66</v>
      </c>
      <c r="F55" s="56">
        <v>30707620192</v>
      </c>
      <c r="G55" s="57"/>
      <c r="H55" s="60"/>
      <c r="I55" s="57"/>
      <c r="J55" s="63">
        <v>612000</v>
      </c>
      <c r="K55" s="62"/>
      <c r="L55" s="56">
        <f t="shared" si="0"/>
        <v>128520</v>
      </c>
      <c r="M55" s="61"/>
      <c r="N55" s="61"/>
      <c r="O55" s="63"/>
      <c r="P55" s="61"/>
      <c r="Q55" s="61"/>
      <c r="R55" s="63">
        <f t="shared" si="1"/>
        <v>740520</v>
      </c>
    </row>
    <row r="56" spans="1:18" s="53" customFormat="1" ht="17.399999999999999" customHeight="1" x14ac:dyDescent="0.3">
      <c r="A56" s="56" t="s">
        <v>61</v>
      </c>
      <c r="B56" s="57" t="s">
        <v>44</v>
      </c>
      <c r="C56" s="58">
        <v>1</v>
      </c>
      <c r="D56" s="59">
        <v>3609</v>
      </c>
      <c r="E56" s="56" t="s">
        <v>68</v>
      </c>
      <c r="F56" s="56" t="s">
        <v>68</v>
      </c>
      <c r="G56" s="57"/>
      <c r="H56" s="60"/>
      <c r="I56" s="57"/>
      <c r="J56" s="63">
        <v>9504.14</v>
      </c>
      <c r="K56" s="62"/>
      <c r="L56" s="56">
        <f t="shared" si="0"/>
        <v>1995.8693999999998</v>
      </c>
      <c r="M56" s="61"/>
      <c r="N56" s="61"/>
      <c r="O56" s="63"/>
      <c r="P56" s="61"/>
      <c r="Q56" s="61"/>
      <c r="R56" s="63">
        <f t="shared" si="1"/>
        <v>11500.009399999999</v>
      </c>
    </row>
    <row r="57" spans="1:18" s="53" customFormat="1" ht="17.399999999999999" customHeight="1" x14ac:dyDescent="0.3">
      <c r="A57" s="56" t="s">
        <v>61</v>
      </c>
      <c r="B57" s="57" t="s">
        <v>44</v>
      </c>
      <c r="C57" s="58">
        <v>1</v>
      </c>
      <c r="D57" s="59">
        <v>3610</v>
      </c>
      <c r="E57" s="56" t="s">
        <v>68</v>
      </c>
      <c r="F57" s="56" t="s">
        <v>68</v>
      </c>
      <c r="G57" s="57"/>
      <c r="H57" s="60"/>
      <c r="I57" s="57"/>
      <c r="J57" s="63">
        <v>8099.19</v>
      </c>
      <c r="K57" s="62"/>
      <c r="L57" s="56">
        <f t="shared" si="0"/>
        <v>1700.8299</v>
      </c>
      <c r="M57" s="61"/>
      <c r="N57" s="61"/>
      <c r="O57" s="63"/>
      <c r="P57" s="61"/>
      <c r="Q57" s="61"/>
      <c r="R57" s="63">
        <f t="shared" si="1"/>
        <v>9800.0198999999993</v>
      </c>
    </row>
    <row r="58" spans="1:18" s="53" customFormat="1" ht="17.399999999999999" customHeight="1" x14ac:dyDescent="0.3">
      <c r="A58" s="56" t="s">
        <v>62</v>
      </c>
      <c r="B58" s="57" t="s">
        <v>43</v>
      </c>
      <c r="C58" s="58">
        <v>1</v>
      </c>
      <c r="D58" s="59">
        <v>320</v>
      </c>
      <c r="E58" s="56" t="s">
        <v>66</v>
      </c>
      <c r="F58" s="56">
        <v>30707620192</v>
      </c>
      <c r="G58" s="57"/>
      <c r="H58" s="60"/>
      <c r="I58" s="57"/>
      <c r="J58" s="63">
        <v>600000</v>
      </c>
      <c r="K58" s="62"/>
      <c r="L58" s="56">
        <f t="shared" si="0"/>
        <v>126000</v>
      </c>
      <c r="M58" s="61"/>
      <c r="N58" s="61"/>
      <c r="O58" s="63"/>
      <c r="P58" s="61"/>
      <c r="Q58" s="61"/>
      <c r="R58" s="63">
        <f t="shared" si="1"/>
        <v>726000</v>
      </c>
    </row>
    <row r="59" spans="1:18" s="53" customFormat="1" ht="17.399999999999999" customHeight="1" x14ac:dyDescent="0.3">
      <c r="A59" s="56" t="s">
        <v>62</v>
      </c>
      <c r="B59" s="57" t="s">
        <v>44</v>
      </c>
      <c r="C59" s="58">
        <v>1</v>
      </c>
      <c r="D59" s="59">
        <v>3611</v>
      </c>
      <c r="E59" s="56" t="s">
        <v>68</v>
      </c>
      <c r="F59" s="56" t="s">
        <v>68</v>
      </c>
      <c r="G59" s="57"/>
      <c r="H59" s="60"/>
      <c r="I59" s="57"/>
      <c r="J59" s="63">
        <v>13057.86</v>
      </c>
      <c r="K59" s="62"/>
      <c r="L59" s="56">
        <f t="shared" si="0"/>
        <v>2742.1505999999999</v>
      </c>
      <c r="M59" s="61"/>
      <c r="N59" s="61"/>
      <c r="O59" s="63"/>
      <c r="P59" s="61"/>
      <c r="Q59" s="61"/>
      <c r="R59" s="63">
        <f t="shared" si="1"/>
        <v>15800.010600000001</v>
      </c>
    </row>
    <row r="60" spans="1:18" s="53" customFormat="1" ht="17.399999999999999" customHeight="1" x14ac:dyDescent="0.3">
      <c r="A60" s="56" t="s">
        <v>62</v>
      </c>
      <c r="B60" s="57" t="s">
        <v>44</v>
      </c>
      <c r="C60" s="58">
        <v>1</v>
      </c>
      <c r="D60" s="59">
        <v>3612</v>
      </c>
      <c r="E60" s="56" t="s">
        <v>68</v>
      </c>
      <c r="F60" s="56" t="s">
        <v>68</v>
      </c>
      <c r="G60" s="57"/>
      <c r="H60" s="60"/>
      <c r="I60" s="57"/>
      <c r="J60" s="63">
        <v>8429.76</v>
      </c>
      <c r="K60" s="62"/>
      <c r="L60" s="56">
        <f t="shared" si="0"/>
        <v>1770.2495999999999</v>
      </c>
      <c r="M60" s="61"/>
      <c r="N60" s="61"/>
      <c r="O60" s="63"/>
      <c r="P60" s="61"/>
      <c r="Q60" s="61"/>
      <c r="R60" s="63">
        <f t="shared" si="1"/>
        <v>10200.009599999999</v>
      </c>
    </row>
    <row r="61" spans="1:18" s="53" customFormat="1" ht="17.399999999999999" customHeight="1" x14ac:dyDescent="0.3">
      <c r="A61" s="56" t="s">
        <v>62</v>
      </c>
      <c r="B61" s="57" t="s">
        <v>44</v>
      </c>
      <c r="C61" s="58">
        <v>1</v>
      </c>
      <c r="D61" s="59">
        <v>3613</v>
      </c>
      <c r="E61" s="56" t="s">
        <v>68</v>
      </c>
      <c r="F61" s="56" t="s">
        <v>68</v>
      </c>
      <c r="G61" s="57"/>
      <c r="H61" s="60"/>
      <c r="I61" s="57"/>
      <c r="J61" s="63">
        <v>8264.48</v>
      </c>
      <c r="K61" s="62"/>
      <c r="L61" s="56">
        <f t="shared" si="0"/>
        <v>1735.5407999999998</v>
      </c>
      <c r="M61" s="61"/>
      <c r="N61" s="61"/>
      <c r="O61" s="63"/>
      <c r="P61" s="61"/>
      <c r="Q61" s="61"/>
      <c r="R61" s="63">
        <f t="shared" si="1"/>
        <v>10000.020799999998</v>
      </c>
    </row>
    <row r="62" spans="1:18" s="53" customFormat="1" ht="17.399999999999999" customHeight="1" x14ac:dyDescent="0.3">
      <c r="A62" s="56" t="s">
        <v>63</v>
      </c>
      <c r="B62" s="57" t="s">
        <v>44</v>
      </c>
      <c r="C62" s="58">
        <v>1</v>
      </c>
      <c r="D62" s="59">
        <v>3616</v>
      </c>
      <c r="E62" s="56" t="s">
        <v>68</v>
      </c>
      <c r="F62" s="56" t="s">
        <v>68</v>
      </c>
      <c r="G62" s="57"/>
      <c r="H62" s="60"/>
      <c r="I62" s="57"/>
      <c r="J62" s="63">
        <v>9504.14</v>
      </c>
      <c r="K62" s="62"/>
      <c r="L62" s="56">
        <f t="shared" si="0"/>
        <v>1995.8693999999998</v>
      </c>
      <c r="M62" s="61"/>
      <c r="N62" s="61"/>
      <c r="O62" s="63"/>
      <c r="P62" s="61"/>
      <c r="Q62" s="61"/>
      <c r="R62" s="63">
        <f t="shared" si="1"/>
        <v>11500.009399999999</v>
      </c>
    </row>
    <row r="63" spans="1:18" s="53" customFormat="1" ht="17.399999999999999" customHeight="1" x14ac:dyDescent="0.3">
      <c r="A63" s="56" t="s">
        <v>63</v>
      </c>
      <c r="B63" s="57" t="s">
        <v>44</v>
      </c>
      <c r="C63" s="58">
        <v>1</v>
      </c>
      <c r="D63" s="59">
        <v>3614</v>
      </c>
      <c r="E63" s="56" t="s">
        <v>68</v>
      </c>
      <c r="F63" s="56" t="s">
        <v>68</v>
      </c>
      <c r="G63" s="57"/>
      <c r="H63" s="60"/>
      <c r="I63" s="57"/>
      <c r="J63" s="63">
        <v>8099.19</v>
      </c>
      <c r="K63" s="62"/>
      <c r="L63" s="56">
        <f t="shared" si="0"/>
        <v>1700.8299</v>
      </c>
      <c r="M63" s="61"/>
      <c r="N63" s="61"/>
      <c r="O63" s="63"/>
      <c r="P63" s="61"/>
      <c r="Q63" s="61"/>
      <c r="R63" s="63">
        <f t="shared" si="1"/>
        <v>9800.0198999999993</v>
      </c>
    </row>
    <row r="64" spans="1:18" s="53" customFormat="1" ht="17.399999999999999" customHeight="1" x14ac:dyDescent="0.3">
      <c r="A64" s="56" t="s">
        <v>63</v>
      </c>
      <c r="B64" s="57" t="s">
        <v>44</v>
      </c>
      <c r="C64" s="58">
        <v>1</v>
      </c>
      <c r="D64" s="59">
        <v>3615</v>
      </c>
      <c r="E64" s="56" t="s">
        <v>68</v>
      </c>
      <c r="F64" s="56" t="s">
        <v>68</v>
      </c>
      <c r="G64" s="57"/>
      <c r="H64" s="60"/>
      <c r="I64" s="57"/>
      <c r="J64" s="63">
        <v>8016.52</v>
      </c>
      <c r="K64" s="62"/>
      <c r="L64" s="56">
        <f t="shared" si="0"/>
        <v>1683.4692</v>
      </c>
      <c r="M64" s="61"/>
      <c r="N64" s="61"/>
      <c r="O64" s="63"/>
      <c r="P64" s="61"/>
      <c r="Q64" s="61"/>
      <c r="R64" s="63">
        <f t="shared" si="1"/>
        <v>9699.9892</v>
      </c>
    </row>
    <row r="65" spans="1:18" s="53" customFormat="1" ht="17.399999999999999" customHeight="1" x14ac:dyDescent="0.3">
      <c r="A65" s="56" t="s">
        <v>63</v>
      </c>
      <c r="B65" s="57" t="s">
        <v>44</v>
      </c>
      <c r="C65" s="58">
        <v>1</v>
      </c>
      <c r="D65" s="59">
        <v>3617</v>
      </c>
      <c r="E65" s="56" t="s">
        <v>68</v>
      </c>
      <c r="F65" s="56" t="s">
        <v>68</v>
      </c>
      <c r="G65" s="57"/>
      <c r="H65" s="60"/>
      <c r="I65" s="57"/>
      <c r="J65" s="63">
        <v>12562</v>
      </c>
      <c r="K65" s="62"/>
      <c r="L65" s="56">
        <f t="shared" si="0"/>
        <v>2638.02</v>
      </c>
      <c r="M65" s="61"/>
      <c r="N65" s="61"/>
      <c r="O65" s="63"/>
      <c r="P65" s="61"/>
      <c r="Q65" s="61"/>
      <c r="R65" s="63">
        <f t="shared" si="1"/>
        <v>15200.02</v>
      </c>
    </row>
    <row r="66" spans="1:18" s="53" customFormat="1" ht="17.399999999999999" customHeight="1" x14ac:dyDescent="0.3">
      <c r="A66" s="56" t="s">
        <v>63</v>
      </c>
      <c r="B66" s="57" t="s">
        <v>44</v>
      </c>
      <c r="C66" s="58">
        <v>1</v>
      </c>
      <c r="D66" s="59">
        <v>3618</v>
      </c>
      <c r="E66" s="56" t="s">
        <v>68</v>
      </c>
      <c r="F66" s="56" t="s">
        <v>68</v>
      </c>
      <c r="G66" s="57"/>
      <c r="H66" s="60"/>
      <c r="I66" s="57"/>
      <c r="J66" s="63">
        <v>8099.19</v>
      </c>
      <c r="K66" s="62"/>
      <c r="L66" s="56">
        <f t="shared" si="0"/>
        <v>1700.8299</v>
      </c>
      <c r="M66" s="61"/>
      <c r="N66" s="61"/>
      <c r="O66" s="63"/>
      <c r="P66" s="61"/>
      <c r="Q66" s="61"/>
      <c r="R66" s="63">
        <f t="shared" si="1"/>
        <v>9800.0198999999993</v>
      </c>
    </row>
    <row r="67" spans="1:18" s="53" customFormat="1" ht="17.399999999999999" customHeight="1" x14ac:dyDescent="0.3">
      <c r="A67" s="56" t="s">
        <v>63</v>
      </c>
      <c r="B67" s="57" t="s">
        <v>44</v>
      </c>
      <c r="C67" s="58">
        <v>1</v>
      </c>
      <c r="D67" s="59">
        <v>3619</v>
      </c>
      <c r="E67" s="56" t="s">
        <v>68</v>
      </c>
      <c r="F67" s="56" t="s">
        <v>68</v>
      </c>
      <c r="G67" s="57"/>
      <c r="H67" s="60"/>
      <c r="I67" s="57"/>
      <c r="J67" s="63">
        <v>7024.81</v>
      </c>
      <c r="K67" s="62"/>
      <c r="L67" s="56">
        <f t="shared" si="0"/>
        <v>1475.2101</v>
      </c>
      <c r="M67" s="61"/>
      <c r="N67" s="61"/>
      <c r="O67" s="63"/>
      <c r="P67" s="61"/>
      <c r="Q67" s="61"/>
      <c r="R67" s="63">
        <f t="shared" si="1"/>
        <v>8500.0200999999997</v>
      </c>
    </row>
    <row r="68" spans="1:18" s="53" customFormat="1" ht="17.399999999999999" customHeight="1" x14ac:dyDescent="0.3">
      <c r="A68" s="56" t="s">
        <v>64</v>
      </c>
      <c r="B68" s="57" t="s">
        <v>44</v>
      </c>
      <c r="C68" s="58">
        <v>1</v>
      </c>
      <c r="D68" s="59">
        <v>3620</v>
      </c>
      <c r="E68" s="56" t="s">
        <v>68</v>
      </c>
      <c r="F68" s="56" t="s">
        <v>68</v>
      </c>
      <c r="G68" s="57"/>
      <c r="H68" s="60"/>
      <c r="I68" s="57"/>
      <c r="J68" s="63">
        <v>8099.19</v>
      </c>
      <c r="K68" s="62"/>
      <c r="L68" s="56">
        <f t="shared" si="0"/>
        <v>1700.8299</v>
      </c>
      <c r="M68" s="61"/>
      <c r="N68" s="61"/>
      <c r="O68" s="63"/>
      <c r="P68" s="61"/>
      <c r="Q68" s="61"/>
      <c r="R68" s="63">
        <f t="shared" si="1"/>
        <v>9800.0198999999993</v>
      </c>
    </row>
    <row r="69" spans="1:18" s="53" customFormat="1" ht="17.399999999999999" customHeight="1" x14ac:dyDescent="0.3">
      <c r="A69" s="56" t="s">
        <v>64</v>
      </c>
      <c r="B69" s="57" t="s">
        <v>44</v>
      </c>
      <c r="C69" s="58">
        <v>1</v>
      </c>
      <c r="D69" s="59">
        <v>3621</v>
      </c>
      <c r="E69" s="56" t="s">
        <v>68</v>
      </c>
      <c r="F69" s="56" t="s">
        <v>68</v>
      </c>
      <c r="G69" s="57"/>
      <c r="H69" s="60"/>
      <c r="I69" s="57"/>
      <c r="J69" s="63">
        <v>5619.86</v>
      </c>
      <c r="K69" s="62"/>
      <c r="L69" s="56">
        <f t="shared" si="0"/>
        <v>1180.1705999999999</v>
      </c>
      <c r="M69" s="61"/>
      <c r="N69" s="61"/>
      <c r="O69" s="63"/>
      <c r="P69" s="61"/>
      <c r="Q69" s="61"/>
      <c r="R69" s="63">
        <f t="shared" si="1"/>
        <v>6800.0306</v>
      </c>
    </row>
    <row r="70" spans="1:18" s="53" customFormat="1" ht="17.399999999999999" customHeight="1" x14ac:dyDescent="0.3">
      <c r="A70" s="56" t="s">
        <v>64</v>
      </c>
      <c r="B70" s="57" t="s">
        <v>44</v>
      </c>
      <c r="C70" s="58">
        <v>1</v>
      </c>
      <c r="D70" s="59">
        <v>3622</v>
      </c>
      <c r="E70" s="56" t="s">
        <v>68</v>
      </c>
      <c r="F70" s="56" t="s">
        <v>68</v>
      </c>
      <c r="G70" s="57"/>
      <c r="H70" s="60"/>
      <c r="I70" s="57"/>
      <c r="J70" s="63">
        <v>6446.29</v>
      </c>
      <c r="K70" s="62"/>
      <c r="L70" s="56">
        <f t="shared" si="0"/>
        <v>1353.7209</v>
      </c>
      <c r="M70" s="61"/>
      <c r="N70" s="61"/>
      <c r="O70" s="63"/>
      <c r="P70" s="61"/>
      <c r="Q70" s="61"/>
      <c r="R70" s="63">
        <f t="shared" si="1"/>
        <v>7800.0109000000002</v>
      </c>
    </row>
    <row r="71" spans="1:18" s="53" customFormat="1" ht="17.399999999999999" customHeight="1" x14ac:dyDescent="0.3">
      <c r="A71" s="56" t="s">
        <v>64</v>
      </c>
      <c r="B71" s="57" t="s">
        <v>44</v>
      </c>
      <c r="C71" s="58">
        <v>1</v>
      </c>
      <c r="D71" s="59">
        <v>3623</v>
      </c>
      <c r="E71" s="56" t="s">
        <v>68</v>
      </c>
      <c r="F71" s="56" t="s">
        <v>68</v>
      </c>
      <c r="G71" s="57"/>
      <c r="H71" s="60"/>
      <c r="I71" s="57"/>
      <c r="J71" s="63">
        <v>7933.9</v>
      </c>
      <c r="K71" s="62"/>
      <c r="L71" s="56">
        <f t="shared" si="0"/>
        <v>1666.1189999999999</v>
      </c>
      <c r="M71" s="61"/>
      <c r="N71" s="61"/>
      <c r="O71" s="63"/>
      <c r="P71" s="61"/>
      <c r="Q71" s="61"/>
      <c r="R71" s="63">
        <f t="shared" si="1"/>
        <v>9600.0190000000002</v>
      </c>
    </row>
    <row r="72" spans="1:18" s="53" customFormat="1" ht="17.399999999999999" customHeight="1" x14ac:dyDescent="0.3">
      <c r="A72" s="56" t="s">
        <v>65</v>
      </c>
      <c r="B72" s="57" t="s">
        <v>44</v>
      </c>
      <c r="C72" s="58">
        <v>1</v>
      </c>
      <c r="D72" s="59">
        <v>3624</v>
      </c>
      <c r="E72" s="56" t="s">
        <v>68</v>
      </c>
      <c r="F72" s="56" t="s">
        <v>68</v>
      </c>
      <c r="G72" s="57"/>
      <c r="H72" s="60"/>
      <c r="I72" s="57"/>
      <c r="J72" s="63">
        <v>8429.76</v>
      </c>
      <c r="K72" s="62"/>
      <c r="L72" s="56">
        <f t="shared" si="0"/>
        <v>1770.2495999999999</v>
      </c>
      <c r="M72" s="61"/>
      <c r="N72" s="61"/>
      <c r="O72" s="63"/>
      <c r="P72" s="61"/>
      <c r="Q72" s="61"/>
      <c r="R72" s="63">
        <f t="shared" si="1"/>
        <v>10200.009599999999</v>
      </c>
    </row>
    <row r="73" spans="1:18" x14ac:dyDescent="0.3">
      <c r="A73" s="5"/>
      <c r="B73" s="6"/>
      <c r="C73" s="6"/>
      <c r="D73" s="6"/>
      <c r="E73" s="32"/>
      <c r="F73" s="7"/>
      <c r="G73" s="8"/>
      <c r="H73" s="8"/>
      <c r="I73" s="8"/>
      <c r="J73" s="8"/>
      <c r="K73" s="8"/>
      <c r="L73" s="8"/>
      <c r="M73" s="9"/>
    </row>
  </sheetData>
  <autoFilter ref="A7:L72"/>
  <mergeCells count="1">
    <mergeCell ref="A1:L1"/>
  </mergeCells>
  <pageMargins left="0.70833333333333304" right="0.70833333333333304" top="0.74791666666666701" bottom="0.74791666666666701" header="0.51180555555555496" footer="0.51180555555555496"/>
  <pageSetup paperSize="9" scale="8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Normal="100" workbookViewId="0">
      <selection activeCell="C1" sqref="C1"/>
    </sheetView>
  </sheetViews>
  <sheetFormatPr baseColWidth="10" defaultColWidth="10.5546875" defaultRowHeight="14.4" x14ac:dyDescent="0.3"/>
  <cols>
    <col min="1" max="8" width="20.33203125" style="87" customWidth="1"/>
  </cols>
  <sheetData>
    <row r="1" spans="1:8" ht="15.6" x14ac:dyDescent="0.3">
      <c r="A1" s="88" t="s">
        <v>86</v>
      </c>
      <c r="B1" s="88" t="s">
        <v>4</v>
      </c>
      <c r="C1" s="88" t="s">
        <v>106</v>
      </c>
      <c r="D1" s="88" t="s">
        <v>8</v>
      </c>
      <c r="E1" s="88" t="s">
        <v>105</v>
      </c>
      <c r="F1" s="88" t="s">
        <v>87</v>
      </c>
      <c r="G1" s="88" t="s">
        <v>88</v>
      </c>
      <c r="H1" s="88" t="s">
        <v>89</v>
      </c>
    </row>
    <row r="2" spans="1:8" x14ac:dyDescent="0.3">
      <c r="A2" s="89" t="s">
        <v>90</v>
      </c>
      <c r="B2" s="90">
        <v>46054</v>
      </c>
      <c r="C2" s="91" t="s">
        <v>95</v>
      </c>
      <c r="D2" s="89"/>
      <c r="E2" s="89" t="s">
        <v>91</v>
      </c>
      <c r="F2" s="89">
        <v>580</v>
      </c>
      <c r="G2" s="89" t="s">
        <v>92</v>
      </c>
      <c r="H2" s="89" t="s">
        <v>93</v>
      </c>
    </row>
    <row r="3" spans="1:8" x14ac:dyDescent="0.3">
      <c r="A3" s="89" t="s">
        <v>96</v>
      </c>
      <c r="B3" s="90">
        <v>46055</v>
      </c>
      <c r="C3" s="91">
        <v>400</v>
      </c>
      <c r="D3" s="92" t="s">
        <v>75</v>
      </c>
      <c r="E3" s="89" t="s">
        <v>94</v>
      </c>
      <c r="F3" s="92">
        <v>630</v>
      </c>
      <c r="G3" s="89" t="s">
        <v>93</v>
      </c>
      <c r="H3" s="89" t="s">
        <v>93</v>
      </c>
    </row>
    <row r="4" spans="1:8" x14ac:dyDescent="0.3">
      <c r="A4" s="89" t="s">
        <v>96</v>
      </c>
      <c r="B4" s="90">
        <v>46067</v>
      </c>
      <c r="C4" s="91">
        <v>400</v>
      </c>
      <c r="D4" s="89" t="s">
        <v>75</v>
      </c>
      <c r="E4" s="89" t="s">
        <v>94</v>
      </c>
      <c r="F4" s="89">
        <v>629</v>
      </c>
      <c r="G4" s="89" t="s">
        <v>93</v>
      </c>
      <c r="H4" s="89" t="s">
        <v>93</v>
      </c>
    </row>
    <row r="5" spans="1:8" x14ac:dyDescent="0.3">
      <c r="A5" s="89" t="s">
        <v>97</v>
      </c>
      <c r="B5" s="90">
        <v>46069</v>
      </c>
      <c r="C5" s="91">
        <v>235</v>
      </c>
      <c r="D5" s="93"/>
      <c r="E5" s="89" t="s">
        <v>91</v>
      </c>
      <c r="F5" s="89">
        <v>582</v>
      </c>
      <c r="G5" s="89" t="s">
        <v>92</v>
      </c>
      <c r="H5" s="89" t="s">
        <v>93</v>
      </c>
    </row>
    <row r="6" spans="1:8" x14ac:dyDescent="0.3">
      <c r="A6" s="89" t="s">
        <v>98</v>
      </c>
      <c r="B6" s="90">
        <v>46076</v>
      </c>
      <c r="C6" s="91">
        <v>1000000</v>
      </c>
      <c r="D6" s="93"/>
      <c r="E6" s="89" t="s">
        <v>91</v>
      </c>
      <c r="F6" s="89">
        <v>586</v>
      </c>
      <c r="G6" s="89" t="s">
        <v>92</v>
      </c>
      <c r="H6" s="89" t="s">
        <v>93</v>
      </c>
    </row>
    <row r="7" spans="1:8" x14ac:dyDescent="0.3">
      <c r="A7" s="89" t="s">
        <v>97</v>
      </c>
      <c r="B7" s="90">
        <v>46077</v>
      </c>
      <c r="C7" s="91">
        <v>200</v>
      </c>
      <c r="D7" s="93"/>
      <c r="E7" s="89" t="s">
        <v>91</v>
      </c>
      <c r="F7" s="89">
        <v>583</v>
      </c>
      <c r="G7" s="89" t="s">
        <v>92</v>
      </c>
      <c r="H7" s="89" t="s">
        <v>93</v>
      </c>
    </row>
    <row r="8" spans="1:8" x14ac:dyDescent="0.3">
      <c r="A8" s="89" t="s">
        <v>99</v>
      </c>
      <c r="B8" s="90">
        <v>46081</v>
      </c>
      <c r="C8" s="91">
        <v>212</v>
      </c>
      <c r="D8" s="89" t="s">
        <v>100</v>
      </c>
      <c r="E8" s="89" t="s">
        <v>91</v>
      </c>
      <c r="F8" s="93"/>
      <c r="G8" s="89" t="s">
        <v>93</v>
      </c>
      <c r="H8" s="93" t="s">
        <v>92</v>
      </c>
    </row>
    <row r="9" spans="1:8" x14ac:dyDescent="0.3">
      <c r="A9" s="89" t="s">
        <v>98</v>
      </c>
      <c r="B9" s="90">
        <v>46081</v>
      </c>
      <c r="C9" s="91" t="s">
        <v>95</v>
      </c>
      <c r="D9" s="93"/>
      <c r="E9" s="89" t="s">
        <v>91</v>
      </c>
      <c r="F9" s="89">
        <v>588</v>
      </c>
      <c r="G9" s="89" t="s">
        <v>92</v>
      </c>
      <c r="H9" s="93" t="s">
        <v>92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compras</vt:lpstr>
      <vt:lpstr>ventas</vt:lpstr>
      <vt:lpstr>cheques emitidos</vt:lpstr>
      <vt:lpstr>ventas!Área_de_impresión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Nextron</dc:creator>
  <dc:description/>
  <cp:lastModifiedBy>Josefina Urquiza</cp:lastModifiedBy>
  <cp:revision>1</cp:revision>
  <cp:lastPrinted>2017-06-01T19:44:56Z</cp:lastPrinted>
  <dcterms:created xsi:type="dcterms:W3CDTF">2016-09-20T18:22:38Z</dcterms:created>
  <dcterms:modified xsi:type="dcterms:W3CDTF">2026-03-10T11:47:08Z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